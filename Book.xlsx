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xr:revisionPtr revIDLastSave="0" documentId="8_{8CF4A907-3D46-44E0-B87F-CD26D6605E0F}"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9" i="1" l="1"/>
  <c r="Y39" i="1"/>
  <c r="F24" i="1"/>
  <c r="F25" i="1" s="1"/>
  <c r="F21" i="1"/>
  <c r="F22" i="1" s="1"/>
  <c r="F17" i="1"/>
  <c r="F18" i="1" s="1"/>
  <c r="F19" i="1" s="1"/>
</calcChain>
</file>

<file path=xl/sharedStrings.xml><?xml version="1.0" encoding="utf-8"?>
<sst xmlns="http://schemas.openxmlformats.org/spreadsheetml/2006/main" count="660" uniqueCount="243">
  <si>
    <t>Area</t>
  </si>
  <si>
    <t>Spill Over/ OP/Adhoc/New Addition</t>
  </si>
  <si>
    <t>Launch Countries</t>
  </si>
  <si>
    <t>Planned Quarter</t>
  </si>
  <si>
    <t>Goal Name</t>
  </si>
  <si>
    <t>Linked FBA Goal</t>
  </si>
  <si>
    <t>Project Name</t>
  </si>
  <si>
    <t>Must Win</t>
  </si>
  <si>
    <t>Status</t>
  </si>
  <si>
    <t>Week on Week Status(filled by TPM/SDM of the project)</t>
  </si>
  <si>
    <t>BRD ETA (Filled by PM)</t>
  </si>
  <si>
    <t>Dependencies</t>
  </si>
  <si>
    <t>Intake Closure Date</t>
  </si>
  <si>
    <t>Tech Intake Closed by Date (for giving proper dev time) - filled by TPM/SDMs</t>
  </si>
  <si>
    <t>Launch ETA</t>
  </si>
  <si>
    <t>Project Milestones (Planned dates) by TPM</t>
  </si>
  <si>
    <t>Project Milestone (Actual) filled by TPM</t>
  </si>
  <si>
    <t>Project Stage</t>
  </si>
  <si>
    <t>PM</t>
  </si>
  <si>
    <t>SDM</t>
  </si>
  <si>
    <t>TPM</t>
  </si>
  <si>
    <t>Lead SDE</t>
  </si>
  <si>
    <t>QAE(if needed)/ alias of who plays QAE</t>
  </si>
  <si>
    <t>MASTER SIM/Tracker</t>
  </si>
  <si>
    <t>Estimate ( in weeks)</t>
  </si>
  <si>
    <t>Revised Estimate (in weeks)</t>
  </si>
  <si>
    <t>Goal tag</t>
  </si>
  <si>
    <t>Inbound</t>
  </si>
  <si>
    <t>N</t>
  </si>
  <si>
    <t>EM10</t>
  </si>
  <si>
    <t>Q1</t>
  </si>
  <si>
    <t>Launch real-time GAS appointment experience on uSTA for IES FBA sellers</t>
  </si>
  <si>
    <t>Deliver real-time appointment experience for IES sellers by integrating into the new Unified Inbound architecture (uSTA) for FBA by launching :
(#1) Launch GAS inbound appointment experience on uSTA and enhance shipment creation experience for IES FBA SPs. </t>
  </si>
  <si>
    <t>GREEN</t>
  </si>
  <si>
    <r>
      <rPr>
        <sz val="10"/>
        <color rgb="FF000000"/>
        <rFont val="Calibri"/>
      </rPr>
      <t xml:space="preserve">WoW Progress: 
[2/3] Self-ship appointment design underway (ETA - 2/15)
[2/12] Design under review - https://quip-amazon.com/uFGaAlYuKyok/Inbound-Appointment-APIs
[3/31] Separate suite proposal aligned with WW Inflow and Placement tech teams. 
Open AI: 
1. Nishant&amp; Vaishnavi to discuss with Biswajit about Appointment as separate API suite.(Aligned by PM team) 
2. Nishant to allign with WW inflow and Placement PMs on separate appointment suite (ETA - 4/5)
3. BRD pending (ETA - </t>
    </r>
    <r>
      <rPr>
        <strike/>
        <sz val="10"/>
        <color rgb="FF000000"/>
        <rFont val="Calibri"/>
      </rPr>
      <t>3/31</t>
    </r>
    <r>
      <rPr>
        <sz val="10"/>
        <color rgb="FF000000"/>
        <rFont val="Calibri"/>
      </rPr>
      <t xml:space="preserve"> 4/5)
RFY/RFR:
PTG:</t>
    </r>
  </si>
  <si>
    <t>1. WW STA(PM Alignment TBU)
2. Placement(PM Alignment TBU)
3. i2i(PM Alignment TBU)</t>
  </si>
  <si>
    <t>BRD Intake Start Date: &lt;&gt; (TPM)
BRD Intake Complete : 02/15 (SDM)</t>
  </si>
  <si>
    <t>ETA: 12/30</t>
  </si>
  <si>
    <t xml:space="preserve">Project Plan Link: https://tiny.amazon.com/apw1idae/amazsharxrsiteintl_lay15
BRD Intake Start:
BRD Intake Close:
HLD:
LLD:
Test Plan complete: (owned by QA)
Dev Complete (inc Dev testing):
QA Complete/Tech Complete :
UAT complete:
Dial up start :
100% Dialup.
GTM : (owned by PM)
</t>
  </si>
  <si>
    <t>Design</t>
  </si>
  <si>
    <t>Nishant</t>
  </si>
  <si>
    <t>Garima</t>
  </si>
  <si>
    <t>Bhargav</t>
  </si>
  <si>
    <t>Shivam</t>
  </si>
  <si>
    <t>https://tiny.amazon.com/apw1idae/amazsharxrsiteintl_lay15</t>
  </si>
  <si>
    <t>ALT</t>
  </si>
  <si>
    <t>Q4</t>
  </si>
  <si>
    <t xml:space="preserve">Migrate FC appointment dashboard to uSTA, extending 1P/3P carrier coverage
</t>
  </si>
  <si>
    <t>Deliver real-time appointment experience for IES sellers by integrating into the new Unified Inbound architecture (uSTA) for FBA by launching : 
(#2) Migrate FC appointment dashboard to uSTA and extend coverage to 1P/ 3P carrier use cases.  </t>
  </si>
  <si>
    <t>NOT STARTED</t>
  </si>
  <si>
    <t>WoW Progress:
Open AIs: BRD (Owner: Nishant; ETA - TBD)
RFY/RFR:
PTG:</t>
  </si>
  <si>
    <t> </t>
  </si>
  <si>
    <t>ETA: 9/30</t>
  </si>
  <si>
    <t>Not Started</t>
  </si>
  <si>
    <t>Introduce bulk GAS appointment management feature for EMs</t>
  </si>
  <si>
    <t>Deliver real-time appointment experience for IES sellers by integrating into the new Unified Inbound architecture (uSTA) for FBA by launching :
(#4) Introduce bulk appointment resource management to eliminate manual configuration errors and save 100+ man hours annually </t>
  </si>
  <si>
    <t>WoW Progress: 
[2/4] BRD shared on 2/4. Intake meeting scheduled on 2/6. 
[2/11] Design underway. We are moving FC configs to SSD as part of this initiative and bulk upload feature will be directly built on SSD. We will add accurate milestones post design.
Open AIs: 
1. Nishant to help close on few open points from BRD intake (Dockdoor in template, FC List, S3 bucket mechanism for upload/view, retail manual priority bandwidth)
RFY/RFR:
PTG:</t>
  </si>
  <si>
    <t>BRD Intake Start: 2/6/2026</t>
  </si>
  <si>
    <t xml:space="preserve">Project Plan Link: 
BRD Intake Start: 2/6
BRD Intake Close: 
HLD: 2/9 - 2/20
LLD: 
Dev Complete (inc Dev testing): 3/1 - 4/15
QA Complete/Tech Complete : 4/15 - 4/30
UAT complete: 4/30
Dial up start : 5/1
100% Dialup. 5/1
GTM : (owned by PM)
</t>
  </si>
  <si>
    <t>Development</t>
  </si>
  <si>
    <t>N/A</t>
  </si>
  <si>
    <t>Bhawana</t>
  </si>
  <si>
    <t>Mallikarjun</t>
  </si>
  <si>
    <t>Master SIM</t>
  </si>
  <si>
    <t>Y</t>
  </si>
  <si>
    <t>AE, IN</t>
  </si>
  <si>
    <t>Expand virtual appointment queue(VAQ)  coverage for &amp;lt;100% NSA use cases , enabling sellers to leverage waitlist</t>
  </si>
  <si>
    <t>Deliver real-time appointment experience for IES sellers by integrating into the new Unified Inbound architecture (uSTA) for FBA by launching : 
(#5) Expand virtual appointment queue coverage to all self-ship appointments and enable sellers to leverage waitlist appointments feature </t>
  </si>
  <si>
    <t>WoW Progress:
[2/3] Implementation underway
[2/18] Prioritize QA in Q1. To be confirmed with Yashna as this will push SPN Bulk upload launch.
[3/11] Milestones updated basis QA availability.
[4/8] VAQ QA after pallets restriction
Open AIs
Bhargav to verify business metrics raw data is readily available.. BIE will setup queries.:
RFY/RFR:
PTG:</t>
  </si>
  <si>
    <t>1.WW STA (PM Alignment TBU)
2. i2i (PM Alignment TBU)</t>
  </si>
  <si>
    <t>ETA: 06/30</t>
  </si>
  <si>
    <t xml:space="preserve">Project Plan Link: 
BRD Intake Start: 10/17
BRD Intake Close: 10/30
HLD: 10/30-11/30
LLD: 12/1 - 2/5
Test Plan complete: (owned by QA)
Dev Complete (inc Dev testing): 1/15 - 3/30
QA Complete/Tech Complete : 5/1 - 5/15
UAT complete: 5/20
Dial up start : 
100% Dialup. 5/30
GTM : (owned by PM)
</t>
  </si>
  <si>
    <t>Anjali</t>
  </si>
  <si>
    <t>Launch Agentic Conversational Appointment Booking Experience</t>
  </si>
  <si>
    <t>Deliver real-time appointment experience for IES sellers by integrating into the new Unified Inbound architecture (uSTA) for FBA by launching :
(#6) Launch Agentic Appointment Booking experience to manage appointments through conversational text prompts.</t>
  </si>
  <si>
    <r>
      <rPr>
        <sz val="10"/>
        <color rgb="FF000000"/>
        <rFont val="Calibri"/>
      </rPr>
      <t xml:space="preserve">WoW Progress:
[2/3] Proof-of-concept and vision doc underway
[3/11] Existing Appointment use cases on Seller Central will only be covered with SA integration. Advanced features are not scoped. Self-hosted MCP server work underway for Arest endpoint.
Open AIs: </t>
    </r>
    <r>
      <rPr>
        <strike/>
        <sz val="10"/>
        <color rgb="FF000000"/>
        <rFont val="Calibri"/>
      </rPr>
      <t xml:space="preserve">List of seller queries to act as baseline for performance evaluation (Owner: NIshant and ETA: TBD) </t>
    </r>
    <r>
      <rPr>
        <sz val="10"/>
        <color rgb="FF000000"/>
        <rFont val="Calibri"/>
      </rPr>
      <t>BRD from Nishant
Detailed BRD with user stories (Owner: Product team)
Product alignment on integration strategy and engage with SA/SCE (Owner: Nishant ETA: TBD)
RFY/RFR:
PTG:</t>
    </r>
  </si>
  <si>
    <t>ETA:9/30</t>
  </si>
  <si>
    <t>Scoping/Intake</t>
  </si>
  <si>
    <t>Arnav / Sweta</t>
  </si>
  <si>
    <t>IN</t>
  </si>
  <si>
    <t xml:space="preserve">Migrate Inbound Workflow(SIX) Platform to uSTA for IN SPs
</t>
  </si>
  <si>
    <t>Transform inbound shipment creation experience and reduce inbound related seller contacts by XX bps for IN S3P SPs by launching:
(#1) Inbound Workflow Platform Migration (SIX to uSTA): Migrate existing inbound, compliance, and inventory management experience from IN inbound shipment workflow (SIX) to Unified Send to Amazon (uSTA) platform for desktop. </t>
  </si>
  <si>
    <t>YELLOW</t>
  </si>
  <si>
    <t>WoW Progress:
[2/4] Need to add another SDE here to review UIB shapes and have design discussions with placement team
[2/11] Nishant confirmed we can increase the bandwidth from 10 to 20. Another resource added
[3/31] Conduted workshop with Trans team. Picked up Restock HLD &amp; Capacity HLD work
Open AIs: Nishant to finalize Capacity BRD and close intake alignment with Capacity team. Nishant / Team to connect with WW inflow to align on Restock and tax domain fit. Nishant to finalize non PCP flow BRD and close alignment with WW Trans PM.
RFY/RFR: Discrepancy in required vs allocated bandwidth. 
PTG: Hard prioritization to match required vs allocated bandwidth for 2026 deliverables.</t>
  </si>
  <si>
    <t>1. WW STA(PM Alignment TBU)
2. Placement(PM Alignment TBU)
3. i2i(PM Alignment TBU)
4. Transportation
5. WW FBA Eligibility</t>
  </si>
  <si>
    <t>Krishna</t>
  </si>
  <si>
    <t>https://quip-amazon.com/gKQaAoeuIGs7/IES6-uSTA-Launch-Tracker</t>
  </si>
  <si>
    <t xml:space="preserve">Launch AI Agent Assisted Shipment Creation
</t>
  </si>
  <si>
    <t>Transform inbound shipment creation experience and reduce inbound related seller contacts by XX bps for IN S3P SPs by launching: 
(#2) AI Agent Assisted Shipment Creation: Allow SPs to auto create shipments using text prompts and conversational AI agents.</t>
  </si>
  <si>
    <t>WoW Progress:
Open AIs: Ownner and ETA
RFY/RFR:
PTG:</t>
  </si>
  <si>
    <t>Arnav</t>
  </si>
  <si>
    <t>Launch Carton Level Inbound(CLI) IN customizations/ Improvements on uSTA workflow</t>
  </si>
  <si>
    <t>Transform inbound shipment creation experience and reduce inbound related seller contacts by XX bps for IN S3P SPs by launching:
(#3) Carton Level Inbound (CLI) with Selective Seller Enablement: Launch CLI in uSTA with seller whitelisting capability, starting with SVM sellers, to enable single-scan receiving and improve inbound processing efficiency. </t>
  </si>
  <si>
    <t>WoW Progress:
[1/28] Deep dive and design in progress. BRD shared on 2/9. Intake scheduled on 02/12
[3/11] Timelines pushed by 7-10 days due to SDE pickup up IQB related fix task in between. Efforts remain the same.
[4/8] Internal impl on track to complete by 4/10. STA review concluded, however POC yet to provide official signoff after discussing with team internally. May push our timeline here, following with tech stakeholders.
Open AIs: NIshant to add WW Product alignment on the SIM to unblock tech engagement.
RFY/RFR:
PTG:
Callout: this conditional logic to selective show feature to a cohort of sellers would be throwaway work on old architecture and will need to be redone in new uSTA architecture. Post BRD intake call, team will be able to share the breakup of the throw away effort.</t>
  </si>
  <si>
    <t>1. SEND
2. AWD
3. DFM
4. FTXG
5. SCOT
6. STA
7. i2i (PM Alignment TBU)</t>
  </si>
  <si>
    <t>ETA: 6/30</t>
  </si>
  <si>
    <r>
      <rPr>
        <sz val="10"/>
        <color rgb="FF000000"/>
        <rFont val="Calibri"/>
        <scheme val="minor"/>
      </rPr>
      <t xml:space="preserve">Project Plan Link: 
BRD Intake Start: N/A
BRD Intake Close: N/A
HLD: 2/5
LLD: 2/15
Test Plan complete: (owned by QA)
Dev Complete (inc Dev testing): 2/15 - </t>
    </r>
    <r>
      <rPr>
        <strike/>
        <sz val="10"/>
        <color rgb="FF000000"/>
        <rFont val="Calibri"/>
        <scheme val="minor"/>
      </rPr>
      <t xml:space="preserve">3/15 </t>
    </r>
    <r>
      <rPr>
        <sz val="10"/>
        <color rgb="FF000000"/>
        <rFont val="Calibri"/>
        <scheme val="minor"/>
      </rPr>
      <t xml:space="preserve">4/10
QA Complete/Tech Complete : 4/10 - 4/15
UAT complete: 4/15
Dial up start : 
 Dialup. 4/15
GTM : (owned by PM)
</t>
    </r>
  </si>
  <si>
    <t>Pre-Filled Bulk Shipment Files</t>
  </si>
  <si>
    <t>Launch bulk upload feature with pre-filled Amazon Restock Recommendations, allowing sellers to create faster shipments in a few clicks</t>
  </si>
  <si>
    <t>Launch</t>
  </si>
  <si>
    <t>Joy</t>
  </si>
  <si>
    <t>MX, SA, AE, IN, AU</t>
  </si>
  <si>
    <t>Q2</t>
  </si>
  <si>
    <t xml:space="preserve">Extend GAS Appointment Booking Experience for SEND shipments 
</t>
  </si>
  <si>
    <t>Extend real-time appointment booking experience (GAS) to SEND/OOC/large-load shipments and improve TILT by XX days by launching :
(#1) [MW] SEND Integration: Extend GAS appointment booking experience for SEND based OOC inbounds </t>
  </si>
  <si>
    <r>
      <rPr>
        <sz val="10"/>
        <color rgb="FF000000"/>
        <rFont val="Calibri"/>
      </rPr>
      <t xml:space="preserve">WoW Progress:
Open AIs: Yashna to provide BRD by </t>
    </r>
    <r>
      <rPr>
        <strike/>
        <sz val="10"/>
        <color rgb="FF000000"/>
        <rFont val="Calibri"/>
      </rPr>
      <t xml:space="preserve">2/28 3/16 </t>
    </r>
    <r>
      <rPr>
        <sz val="10"/>
        <color rgb="FF000000"/>
        <rFont val="Calibri"/>
      </rPr>
      <t>4/21 (Requirements quip)
RFY/RFR:
PTG:</t>
    </r>
  </si>
  <si>
    <t>Yashna</t>
  </si>
  <si>
    <t>Ashutosh
Joy</t>
  </si>
  <si>
    <t>Launch  GAS Carrier appointment  booking experience  for Amazon Freight</t>
  </si>
  <si>
    <t>Extend real-time appointment booking experience (GAS) to SEND/OOC/large-load shipments and improve TILT by XX days by launching : 
(#2)Amazon Freight Integration: Extend 3P/PCP carrier ecosystem by introducing Amazon Freight as an additional carrier  </t>
  </si>
  <si>
    <t>WoW Progress: Since PCP is out of scope for 2026 uSTA migration. This is also a candidate for deprioritization this year.
Open AIs: Ownner and ETA
RFY/RFR:
PTG:</t>
  </si>
  <si>
    <t> 1. WW FBA Trans
2. IN Freight Tech
3. STA
4. I2I
5. AGL</t>
  </si>
  <si>
    <t>TBD</t>
  </si>
  <si>
    <t xml:space="preserve">Enhance GAS Appointment Booking for carriers (ATLAS) with Bulk Upload Feature
</t>
  </si>
  <si>
    <t>Extend real-time appointment booking experience (GAS) to SEND/OOC/large-load shipments and improve TILT by XX days by launching :
(#3) Enhance Appointment Booking for Carriers: Introduce bulk upload feature for high volume appointment requests on ATLAS for 3P carriers</t>
  </si>
  <si>
    <t>WoW Progress:
[2/4] BRD intake closed in January. Design underway. 
[2/11] Design completed on 2/11. Implementation underway.
[3/11] Due to contractor end date being pulled, we will have dev closure dates being impacted. 
[3/31] QA testing underway. Launch ETA - 4/15
Open AIs: 
RFY/RFR:
PTG:</t>
  </si>
  <si>
    <r>
      <rPr>
        <sz val="10"/>
        <color rgb="FF000000"/>
        <rFont val="Calibri"/>
        <scheme val="minor"/>
      </rPr>
      <t xml:space="preserve">Project Plan Link: 
BRD Intake Start: 1/13
BRD Intake Close: 1/20
HLD: 1/27 - 2/6
LLD: 2/9 - 2/13
Test Plan complete: (owned by QA)
Dev Complete (inc Dev testing): 2/15 - 3/5
QA Complete/Tech Complete : </t>
    </r>
    <r>
      <rPr>
        <strike/>
        <sz val="10"/>
        <color rgb="FF000000"/>
        <rFont val="Calibri"/>
        <scheme val="minor"/>
      </rPr>
      <t xml:space="preserve">3/5 - 3/8
</t>
    </r>
    <r>
      <rPr>
        <sz val="10"/>
        <color rgb="FF000000"/>
        <rFont val="Calibri"/>
        <scheme val="minor"/>
      </rPr>
      <t xml:space="preserve">UAT complete: 3/15
Dial up start : 
100% Dialup. 3/30
GTM : (owned by PM)
</t>
    </r>
  </si>
  <si>
    <t>QA</t>
  </si>
  <si>
    <t>Jugal</t>
  </si>
  <si>
    <t>ISLT</t>
  </si>
  <si>
    <t>BR, SA, AE</t>
  </si>
  <si>
    <t xml:space="preserve">Launch Large-Load(LTL) Appointment Booking  experience on GAS
</t>
  </si>
  <si>
    <t>Extend real-time appointment booking experience (GAS) to SEND/OOC/large-load shipments and improve TILT by XX days by launching :
(#4) Large-Load Appointment Booking: Extend L/FTL load capability on GAS for efficient inbound transportation of large-volume shipments.  </t>
  </si>
  <si>
    <t>WoW Progress:
Open AIs: 
RFY/RFR:
PTG:</t>
  </si>
  <si>
    <t> 1. WW FBA Trans
2. AGL</t>
  </si>
  <si>
    <t>Ad-hoc</t>
  </si>
  <si>
    <t>MX, BR</t>
  </si>
  <si>
    <t>Visibility on pallet based inbounds</t>
  </si>
  <si>
    <t>Improve appointment planning for pallet-based large load self-ship inbounds</t>
  </si>
  <si>
    <t>WoW Progress: 
[2/16] BRD shared on 2/16. Intake scheduled on 2/23
[3/31] Implementation underway. Launch ETA 5/10 as QA for this has been prioritized over VAQ.
Open AIs: 
RFY/RFR:
PTG:</t>
  </si>
  <si>
    <t>Mehul</t>
  </si>
  <si>
    <t>MASTER SIM</t>
  </si>
  <si>
    <t>MX, BR, EG, SA, AE</t>
  </si>
  <si>
    <t>Extend PCP Calendar experience to 21 Days for EM Stores</t>
  </si>
  <si>
    <t>Enhance PCP inbound experience to reduce seller contacts by XX bps and improve fee recovery by XX bps for EM Stores by launching :
 (#1) PCP Calendar Extension: Extend GAS appointment preview calendar with extension up to 21 days for EM SPs </t>
  </si>
  <si>
    <t>WoW Progress: 
[2/25] BRD shared by Yashna on 2/25. 
[3/11] OH with FTXG oncall done. They will come back with POC. Bhargav to schedule intake next week.
[3/31] FTXG POC assignment still pending. Design completed. 
Open AIs: 
RFY/RFR:
PTG:</t>
  </si>
  <si>
    <t>1. BLP
2. FTXG
3. Shiptech
4. STA
5. I2I</t>
  </si>
  <si>
    <t>Nishchala</t>
  </si>
  <si>
    <t>MX, AU</t>
  </si>
  <si>
    <t xml:space="preserve">Introduce GAS Pick-up and Drop-off input options for EM Stores inbound experience  
</t>
  </si>
  <si>
    <t>Enhance PCP inbound experience to reduce seller contacts by XX bps and improve fee recovery by XX bps for EM Stores by launching :
(#2) Introduce Inbound Options: Enhance PCP workflow to include pick-up and drop-off options to eliminate carrier communication </t>
  </si>
  <si>
    <t>WoW Progress: Blocked on WW Trans EM commitments. Candidate for de-prioritization 
Open AIs:
RFY/RFR:
PTG:</t>
  </si>
  <si>
    <t> 1. WW FBA Trans
2. STA
3. I2I</t>
  </si>
  <si>
    <t>VST</t>
  </si>
  <si>
    <t xml:space="preserve">Automate PCP Fee Recovery for Weight/Dimension Chargebacks
</t>
  </si>
  <si>
    <t>Enhance PCP inbound experience to reduce seller contacts by XX bps and improve fee recovery by XX bps for EM Stores by launching :
(#3) Automate Fee Recovery: Improve PCP Fee recovery by automating PCP Weight/Dimension Chargeback for incorrect declarations by EM SPs  
 </t>
  </si>
  <si>
    <t>WoW Progress:
Open AIs:
RFY/RFR:
PTG:</t>
  </si>
  <si>
    <t>1. WW Fees
2. Pacup</t>
  </si>
  <si>
    <t>BR, IN</t>
  </si>
  <si>
    <t xml:space="preserve">Improve PCP Void Window for Shipment Management
</t>
  </si>
  <si>
    <t>Enhance PCP inbound experience to reduce seller contacts by XX bps and improve fee recovery by XX bps for EM Stores by launching :
(#4) Improve Void Window: Reduce seller contacts by improving window for shipment void and manifest generation  </t>
  </si>
  <si>
    <t>WoW Progress: Blocked on WW Trans EM commitments. Candidate for de-prioritization 
Open AIs: 
RFY/RFR:
PTG:</t>
  </si>
  <si>
    <t>1. STA
2. I2I
3. FTXG</t>
  </si>
  <si>
    <t>SG</t>
  </si>
  <si>
    <t xml:space="preserve">Launch GAS Self-Ship Appointment Booking experience for SG SPs 
</t>
  </si>
  <si>
    <t>Launch appointment booking experience for EM FBA SPs and 3P carriers by launching:
(#1) Appointment booking (GAS) for Seller Self-Drop Inbounds: Extend GAS Self drop-off appointment booking experience to EM SPs  </t>
  </si>
  <si>
    <t>WoW Progress:
Open AIs: Yashna to provide BRD (ETA - 4/30)
RFY/RFR:
PTG:</t>
  </si>
  <si>
    <t>1. STA
2. I2I</t>
  </si>
  <si>
    <t>Abhishek</t>
  </si>
  <si>
    <t>AU, MX, AE, SA, BR, TR, EG</t>
  </si>
  <si>
    <t>Launch GAS Carrier Appointment Booking experience (ATLAS) MVP for EM Stores</t>
  </si>
  <si>
    <t>Launch appointment booking experience for EM FBA SPs and 3P carriers by launching:
(#2) Appointment booking (GAS) for 3P Carriers Launch carrier appointment booking (ATLAS) MVP to optimize FC resource planning  </t>
  </si>
  <si>
    <r>
      <rPr>
        <sz val="10"/>
        <color rgb="FF000000"/>
        <rFont val="Calibri"/>
      </rPr>
      <t>WoW Progress:
[2/4] Picked up vanilla work for TR / EG
[3/31] Completed vanilla work for BR / TR / EG
[4/8] BRD yet to be finalized due to stakeholder discussions.
Open AIs: Yashna to provide EM specific BRD for TR &amp; EG by</t>
    </r>
    <r>
      <rPr>
        <strike/>
        <sz val="10"/>
        <color rgb="FF000000"/>
        <rFont val="Calibri"/>
      </rPr>
      <t xml:space="preserve"> 2/15 2/28</t>
    </r>
    <r>
      <rPr>
        <sz val="10"/>
        <color rgb="FF000000"/>
        <rFont val="Calibri"/>
      </rPr>
      <t xml:space="preserve"> TBD
RFY/RFR:
PTG:</t>
    </r>
  </si>
  <si>
    <t>MX, AE, SA, EG, TR
Stretch AU, ZA</t>
  </si>
  <si>
    <t xml:space="preserve">Launch GAS Appointment Booking for PCP carriers in EM Stores
</t>
  </si>
  <si>
    <t>Launch appointment booking experience for EM FBA SPs and 3P carriers by launching:
(#3) [MW] Appointment booking (GAS) for Amazon Partner Carrier inbounds: Launch appointment booking experience for Amazon Partner Carrier Program </t>
  </si>
  <si>
    <r>
      <rPr>
        <sz val="10"/>
        <color rgb="FF000000"/>
        <rFont val="Calibri"/>
      </rPr>
      <t>WoW Progress: Yashna provided draft TR BRD on</t>
    </r>
    <r>
      <rPr>
        <strike/>
        <sz val="10"/>
        <color rgb="FF000000"/>
        <rFont val="Calibri"/>
      </rPr>
      <t xml:space="preserve"> 2/15</t>
    </r>
    <r>
      <rPr>
        <sz val="10"/>
        <color rgb="FF000000"/>
        <rFont val="Calibri"/>
      </rPr>
      <t xml:space="preserve"> </t>
    </r>
    <r>
      <rPr>
        <strike/>
        <sz val="10"/>
        <color rgb="FF000000"/>
        <rFont val="Calibri"/>
      </rPr>
      <t xml:space="preserve">2/20 </t>
    </r>
    <r>
      <rPr>
        <sz val="10"/>
        <color rgb="FF000000"/>
        <rFont val="Calibri"/>
      </rPr>
      <t>2/26. Tech reviewed and provided comments. Blocked on ShipTech Carrier onboarding. Based on timeline commitment from ShipTech, we can see if we want to launch directly on uSTA or STA.
Open AIs: Yashna to close ShipTech carrier onboarding dependency. ETA - 6/30
RFY/RFR:
PTG:</t>
    </r>
  </si>
  <si>
    <t>1. Shiptech
2. FTXG
3. STA
4. I2I</t>
  </si>
  <si>
    <t>MASTER SIM
https://issues.amazon.com/issues/SPEC-54200</t>
  </si>
  <si>
    <t>IN, AE, EG, SA, MX, BR, AU, TR, ZA</t>
  </si>
  <si>
    <t>Optimize GAS Calendar View with Dynamic Loading capability </t>
  </si>
  <si>
    <t>Reduce No Slot Availability (NSA) by XXbps and launch GAS calendar optimization to improve apointment health for IES Stores SPs by launching:
(#1) GAS Calendar View Optimization: Introduce dynamic GAS calendar load based on SPs preferred pick-up or drop-off appointment date and reduce IB defects. </t>
  </si>
  <si>
    <t xml:space="preserve"> STA, WW FBA , FTXG  IPCS ,SFT ML ,TPS</t>
  </si>
  <si>
    <t>ETA: 10/30</t>
  </si>
  <si>
    <t>IN, Stretch: AU</t>
  </si>
  <si>
    <t xml:space="preserve">Implement ML-Based Priority Appointments for EM SPs
</t>
  </si>
  <si>
    <t>Reduce No Slot Availability (NSA) by XXbps and launch GAS calendar optimization to improve apointment health for IES Stores SPs by launching:
(#2) ML-Based Priority Appointments: Improve inventory instock and FC resource utilization by implementing ML based seller/selection prioritization model.</t>
  </si>
  <si>
    <t>IN, AE, EG, SA, TR, ZA</t>
  </si>
  <si>
    <t xml:space="preserve">Launch Pre-Simulated What-if Quantity Recommendations during Inbound for EM SPs
</t>
  </si>
  <si>
    <t>Reduce No Slot Availability (NSA) by XXbps and launch GAS calendar optimization to improve apointment health for IES Stores SPs by launching:
(#3) Pre-Simulated Quantity Recommendation during Inbound: Launch quantity-based recommendations (what-if) during IB shipment creation to reduce NSA/improve appointment availability </t>
  </si>
  <si>
    <t xml:space="preserve"> STA, WW FBA , FTXG  IPCS ,SFT ML ,TPS </t>
  </si>
  <si>
    <t xml:space="preserve">Launch MTR-STR Report Validator for IN S3P Compliance Management 
</t>
  </si>
  <si>
    <t>Improve compliance for IN S3P FBA sellers by launching:
(#1) MTR-STR Report Validator: Launch Merchant Tax Report (MTR) and Stock Transfer Report (STR) validator to enable automated checks.</t>
  </si>
  <si>
    <t>WoW Progress: 
[2/11] Sachin shared validator requirements with BxGy team by 2/6. 
[3/31] Design completed by 3/31. Implementation underway.
Open AIs: Figure out additional 1.5 weeks needed to supoprt GUITAR events validation. (AI : Yashna / Sonali)
RFY/RFR:
PTG:</t>
  </si>
  <si>
    <t>1. TBOS
2. Guitar</t>
  </si>
  <si>
    <t>Sachin</t>
  </si>
  <si>
    <t>Launch enhanced GCR Reporting for IN S3P Compliance Management </t>
  </si>
  <si>
    <t>Improve compliance for IN S3P FBA sellers by launching:
(#2) GCR Report Enhancements: Enhance GCR Report basis regulatory requirements on Place of Supply inputs. </t>
  </si>
  <si>
    <t>WoW Progress:
[4/8] Scoping meeting on 4/9.
Open AIs: Ownner and ETA
RFY/RFR:
PTG:</t>
  </si>
  <si>
    <t xml:space="preserve"> TBOS , Guitar</t>
  </si>
  <si>
    <t xml:space="preserve">Introduce mandatory GSTIN compliance checks in PCP Workflow 
</t>
  </si>
  <si>
    <t>Improve compliance for IN S3P FBA sellers by launching:
(#3) Compliance Requirement in PCP Workflow: Enable GSTIN as a mandatory field in the PCP workflow to avoid abuse.</t>
  </si>
  <si>
    <t xml:space="preserve">1. STA
2. I2i
3. FTXG and others </t>
  </si>
  <si>
    <t xml:space="preserve">Region Flex(RF) Tech Migration for Multi-Region Capacity Diversification and Efficiency Migration
</t>
  </si>
  <si>
    <t>Support the DARU/RFE strategy and WW removal platform migration by launching:
(#2) Region Flex Tech Migration: Migrate workloads to diversify region usage and reduce dependency on a single capacity pool, and improve software efficiency, reducing AWS resource usage and supporting broader sustainability goals</t>
  </si>
  <si>
    <t>WoW Progress:
[2/11] Jobs migration implementation underway. Away team yet to pick up Priority stack. Databank design underway. Stack deprecation yet to be picked up.
Open AIs: 
RFY/RFR:
PTG:</t>
  </si>
  <si>
    <t>ETA: 10/16</t>
  </si>
  <si>
    <t>Depriortised</t>
  </si>
  <si>
    <t>Sandeep / Abhishek</t>
  </si>
  <si>
    <t>RLT</t>
  </si>
  <si>
    <t>Ad-hoc S-team</t>
  </si>
  <si>
    <t>MX, BR, AE, SA, TR, IN</t>
  </si>
  <si>
    <t>[AI4IES Hero - Selection] Enable growth of price competitive under the roof (UTR) selection in IES6 through GenAI capabilities</t>
  </si>
  <si>
    <t>Launch AI-first product and program initiatives spanning EM SXO, SPS, Account Management and EM Store teams to bring at least 80% of top selling head selection (Established Brand Head Selection) under the roof at a price competitiveness of at least 90% across top 6 International Emerging Stores (IES).</t>
  </si>
  <si>
    <t>MX, BR, AE, SA, EG, IN , AU</t>
  </si>
  <si>
    <t>Deliver Best-In-country (BIC) FBA experience for four IES stores (AE, SA, IN, AU) and close key gaps in LATAM (MX, BR) for FBA inbound, inventory management and capacity management</t>
  </si>
  <si>
    <t xml:space="preserve"> </t>
  </si>
  <si>
    <r>
      <rPr>
        <sz val="10"/>
        <color rgb="FF000000"/>
        <rFont val="Calibri"/>
        <scheme val="minor"/>
      </rPr>
      <t xml:space="preserve">WoW Progress:
[4/8] BRD intake complete on 4/8. LLD for AU backwards of 6/30.
Open AIs: Athmasree to provide BRD by </t>
    </r>
    <r>
      <rPr>
        <strike/>
        <sz val="10"/>
        <color rgb="FF000000"/>
        <rFont val="Calibri"/>
        <scheme val="minor"/>
      </rPr>
      <t>2/6</t>
    </r>
    <r>
      <rPr>
        <sz val="10"/>
        <color rgb="FF000000"/>
        <rFont val="Calibri"/>
        <scheme val="minor"/>
      </rPr>
      <t xml:space="preserve"> 2/16
RFY/RFR:
PTG:</t>
    </r>
  </si>
  <si>
    <t>Clairvoyant</t>
  </si>
  <si>
    <r>
      <rPr>
        <strike/>
        <sz val="11"/>
        <color rgb="FF000000"/>
        <rFont val="Calibri"/>
        <scheme val="minor"/>
      </rPr>
      <t>1/30/2026</t>
    </r>
    <r>
      <rPr>
        <sz val="11"/>
        <color rgb="FF000000"/>
        <rFont val="Calibri"/>
        <scheme val="minor"/>
      </rPr>
      <t xml:space="preserve"> 2/16/2026</t>
    </r>
  </si>
  <si>
    <t>Kishore / Athmasree</t>
  </si>
  <si>
    <t>Sandeep
Aanshu</t>
  </si>
  <si>
    <t>S-Team</t>
  </si>
  <si>
    <t>Clairvoyant Forecasting for IN</t>
  </si>
  <si>
    <t>2025 spillover</t>
  </si>
  <si>
    <r>
      <rPr>
        <sz val="10"/>
        <color rgb="FF000000"/>
        <rFont val="Calibri"/>
        <scheme val="minor"/>
      </rPr>
      <t xml:space="preserve">WoW Progress:
[2/4] Trend Analysis portal tracked to be launched by 2/17. Model Config extensibility tracked to be launched by </t>
    </r>
    <r>
      <rPr>
        <strike/>
        <sz val="10"/>
        <color rgb="FF000000"/>
        <rFont val="Calibri"/>
        <scheme val="minor"/>
      </rPr>
      <t>2/28</t>
    </r>
    <r>
      <rPr>
        <sz val="10"/>
        <color rgb="FF000000"/>
        <rFont val="Calibri"/>
        <scheme val="minor"/>
      </rPr>
      <t xml:space="preserve"> March. 
[2/11] Model Config extensibility work delayed due to SDE paternity leave starting mid Feb.
Open AIs: 
RFY/RFR:
PTG:</t>
    </r>
  </si>
  <si>
    <t>ETA: 2/28</t>
  </si>
  <si>
    <t>Kishore</t>
  </si>
  <si>
    <t>2025 S-Team Spillover</t>
  </si>
  <si>
    <t>AE, SA</t>
  </si>
  <si>
    <r>
      <rPr>
        <strike/>
        <sz val="10"/>
        <color rgb="FF000000"/>
        <rFont val="Calibri"/>
        <scheme val="minor"/>
      </rPr>
      <t xml:space="preserve">PCP-LTL (IB Transportation)
</t>
    </r>
    <r>
      <rPr>
        <sz val="10"/>
        <color rgb="FF000000"/>
        <rFont val="Calibri"/>
        <scheme val="minor"/>
      </rPr>
      <t>PCP TR</t>
    </r>
  </si>
  <si>
    <t>Increase PCP LTL adoption% from XX/XX to XX/XX in AE/SA by launching enhancements to the PCP-LTL MLP launch in 2025</t>
  </si>
  <si>
    <t>WoW Progress:
[1/23] Paused for Q1 due to MENA program churn and non-alignment from MM and ShipTech teams
Open AIs: Athmasree to get back on how to redirect 30 weeks bandwidth planned in Q1. Currently 10 redirected to Clairvoyant long range forecast. 10 weeks for uSTA. 10 pending TBD
RFY/RFR:
PTG:</t>
  </si>
  <si>
    <t>ETA: 12/12</t>
  </si>
  <si>
    <t>Athmasree</t>
  </si>
  <si>
    <t>Santanu</t>
  </si>
  <si>
    <t>Retail OP items</t>
  </si>
  <si>
    <t>Dockdoor optimizations</t>
  </si>
  <si>
    <t>WoW Progress:
[2/4] Design underway
Open AIs: Provide FBA PM approval (Owner Nishant; ETA 2/13)
RFY/RFR:
PTG:</t>
  </si>
  <si>
    <t>ETA: 3/31</t>
  </si>
  <si>
    <t>Surbhi</t>
  </si>
  <si>
    <t>SATT Subchannel Exclusivity</t>
  </si>
  <si>
    <t>WoW Progress:
[2/4] Design underway
Open AIs: FBA Product to provide approval on the SIM (Yashna / Nishant) (ETA : 2/15)
RFY/RFR:
PTG:</t>
  </si>
  <si>
    <t>Bintype fallback logic change</t>
  </si>
  <si>
    <t>Jwal</t>
  </si>
  <si>
    <t>AMXL Mapping changes</t>
  </si>
  <si>
    <t>WoW Progress:
[2/4] Design underway
Open AIs: Ownner and ETA
RFY/RFR:
PTG:</t>
  </si>
  <si>
    <t>Total</t>
  </si>
  <si>
    <t>Adhoc - Mandatory Migration</t>
  </si>
  <si>
    <t>LSS Deprecation</t>
  </si>
  <si>
    <t>Migrate from LSS to SSPOT for shift, break and event timings for GAS</t>
  </si>
  <si>
    <t>Adhoc</t>
  </si>
  <si>
    <t>Multi ISA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</si>
</sst>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u/>
      <sz val="11"/>
      <color theme="10"/>
      <name val="Calibri"/>
      <family val="2"/>
      <scheme val="minor"/>
    </font>
    <font>
      <b/>
      <sz val="10"/>
      <color theme="0"/>
      <name val="Calibri"/>
      <family val="2"/>
      <scheme val="minor"/>
    </font>
    <font>
      <sz val="10"/>
      <color theme="1"/>
      <name val="Calibri"/>
      <family val="2"/>
      <scheme val="minor"/>
    </font>
    <font>
      <sz val="10"/>
      <color rgb="FF000000"/>
      <name val="Calibri"/>
    </font>
    <font>
      <strike/>
      <sz val="10"/>
      <color rgb="FF000000"/>
      <name val="Calibri"/>
    </font>
    <font>
      <sz val="9"/>
      <color rgb="FF000000"/>
      <name val="Calibri"/>
      <family val="2"/>
    </font>
    <font>
      <sz val="10"/>
      <color rgb="FF000000"/>
      <name val="Calibri"/>
      <scheme val="minor"/>
    </font>
    <font>
      <strike/>
      <sz val="10"/>
      <color rgb="FF000000"/>
      <name val="Calibri"/>
      <scheme val="minor"/>
    </font>
    <font>
      <sz val="10"/>
      <color rgb="FF000000"/>
      <name val="Calibri"/>
      <family val="2"/>
      <scheme val="minor"/>
    </font>
    <font>
      <sz val="11"/>
      <color rgb="FF000000"/>
      <name val="Calibri"/>
      <family val="2"/>
      <scheme val="minor"/>
    </font>
    <font>
      <strike/>
      <sz val="11"/>
      <color rgb="FF000000"/>
      <name val="Calibri"/>
      <scheme val="minor"/>
    </font>
    <font>
      <sz val="11"/>
      <color rgb="FF000000"/>
      <name val="Calibri"/>
      <scheme val="minor"/>
    </font>
    <font>
      <b/>
      <sz val="10"/>
      <color theme="1"/>
      <name val="Calibri"/>
      <family val="2"/>
      <scheme val="minor"/>
    </font>
  </fonts>
  <fills count="9">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theme="0"/>
        <bgColor indexed="64"/>
      </patternFill>
    </fill>
    <fill>
      <patternFill patternType="solid">
        <fgColor theme="7"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FFFF"/>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79">
    <xf numFmtId="0" fontId="0" fillId="0" borderId="0" xfId="0"/>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0" borderId="2" xfId="0" applyFont="1" applyBorder="1" applyAlignment="1">
      <alignment horizontal="left" vertical="top" wrapText="1"/>
    </xf>
    <xf numFmtId="0" fontId="3" fillId="6" borderId="1" xfId="0" applyFont="1" applyFill="1" applyBorder="1" applyAlignment="1">
      <alignment horizontal="left" vertical="top" wrapText="1"/>
    </xf>
    <xf numFmtId="0" fontId="1" fillId="4" borderId="1" xfId="1" applyFill="1" applyBorder="1" applyAlignment="1">
      <alignment horizontal="left" vertical="top" wrapText="1"/>
    </xf>
    <xf numFmtId="0" fontId="3" fillId="0" borderId="1" xfId="0" applyFont="1" applyBorder="1" applyAlignment="1">
      <alignment horizontal="left" vertical="top" wrapText="1"/>
    </xf>
    <xf numFmtId="0" fontId="6" fillId="0" borderId="3" xfId="0" applyFont="1" applyBorder="1" applyAlignment="1">
      <alignment wrapText="1"/>
    </xf>
    <xf numFmtId="16" fontId="3" fillId="4" borderId="1" xfId="0" applyNumberFormat="1" applyFont="1" applyFill="1" applyBorder="1" applyAlignment="1">
      <alignment horizontal="left" vertical="top" wrapText="1"/>
    </xf>
    <xf numFmtId="0" fontId="6" fillId="0" borderId="3" xfId="0" applyFont="1" applyBorder="1" applyAlignment="1">
      <alignment horizontal="left" vertical="top" wrapText="1"/>
    </xf>
    <xf numFmtId="16" fontId="7" fillId="4" borderId="1" xfId="0" applyNumberFormat="1" applyFont="1" applyFill="1" applyBorder="1" applyAlignment="1">
      <alignment horizontal="left" vertical="top" wrapText="1"/>
    </xf>
    <xf numFmtId="0" fontId="1" fillId="0" borderId="0" xfId="1" applyFill="1" applyAlignment="1">
      <alignment horizontal="center" vertical="center"/>
    </xf>
    <xf numFmtId="0" fontId="1" fillId="4" borderId="1" xfId="1" applyFill="1" applyBorder="1" applyAlignment="1">
      <alignment horizontal="center" vertical="center" wrapText="1"/>
    </xf>
    <xf numFmtId="0" fontId="3" fillId="4" borderId="4" xfId="0" applyFont="1" applyFill="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left" vertical="top" wrapText="1"/>
    </xf>
    <xf numFmtId="0" fontId="7" fillId="4" borderId="4" xfId="0" applyFont="1" applyFill="1" applyBorder="1" applyAlignment="1">
      <alignment horizontal="left" vertical="top" wrapText="1"/>
    </xf>
    <xf numFmtId="0" fontId="1" fillId="4" borderId="4" xfId="1" applyFill="1" applyBorder="1" applyAlignment="1">
      <alignment horizontal="center" vertical="center" wrapText="1"/>
    </xf>
    <xf numFmtId="0" fontId="3" fillId="4" borderId="6" xfId="0" applyFont="1" applyFill="1" applyBorder="1" applyAlignment="1">
      <alignment horizontal="left" vertical="top" wrapText="1"/>
    </xf>
    <xf numFmtId="0" fontId="0" fillId="0" borderId="6" xfId="0" applyBorder="1"/>
    <xf numFmtId="0" fontId="0" fillId="0" borderId="6" xfId="0" applyBorder="1" applyAlignment="1">
      <alignment vertical="top" wrapText="1"/>
    </xf>
    <xf numFmtId="0" fontId="0" fillId="4" borderId="6" xfId="0" applyFill="1" applyBorder="1" applyAlignment="1">
      <alignment horizontal="left" vertical="top"/>
    </xf>
    <xf numFmtId="0" fontId="0" fillId="0" borderId="6" xfId="0" applyBorder="1" applyAlignment="1">
      <alignment horizontal="left" vertical="top"/>
    </xf>
    <xf numFmtId="0" fontId="0" fillId="0" borderId="7" xfId="0" applyBorder="1"/>
    <xf numFmtId="16" fontId="3" fillId="4" borderId="8" xfId="0" applyNumberFormat="1" applyFont="1" applyFill="1" applyBorder="1" applyAlignment="1">
      <alignment horizontal="left" vertical="top" wrapText="1"/>
    </xf>
    <xf numFmtId="0" fontId="0" fillId="0" borderId="7" xfId="0" applyBorder="1" applyAlignment="1">
      <alignment horizontal="left" vertical="top"/>
    </xf>
    <xf numFmtId="0" fontId="0" fillId="0" borderId="9" xfId="0" applyBorder="1"/>
    <xf numFmtId="0" fontId="3" fillId="4" borderId="10" xfId="0" applyFont="1" applyFill="1" applyBorder="1" applyAlignment="1">
      <alignment horizontal="left" vertical="top" wrapText="1"/>
    </xf>
    <xf numFmtId="0" fontId="4" fillId="7" borderId="10" xfId="0" applyFont="1" applyFill="1" applyBorder="1" applyAlignment="1">
      <alignment horizontal="left" vertical="top" wrapText="1"/>
    </xf>
    <xf numFmtId="16" fontId="3" fillId="4" borderId="10" xfId="0" applyNumberFormat="1" applyFont="1" applyFill="1" applyBorder="1" applyAlignment="1">
      <alignment horizontal="left" vertical="top" wrapText="1"/>
    </xf>
    <xf numFmtId="0" fontId="3" fillId="4" borderId="11" xfId="0" applyFont="1" applyFill="1" applyBorder="1" applyAlignment="1">
      <alignment horizontal="left" vertical="top" wrapText="1"/>
    </xf>
    <xf numFmtId="0" fontId="3" fillId="4" borderId="7" xfId="0" applyFont="1" applyFill="1" applyBorder="1" applyAlignment="1">
      <alignment horizontal="left" vertical="top" wrapText="1"/>
    </xf>
    <xf numFmtId="0" fontId="3" fillId="6" borderId="12" xfId="0" applyFont="1" applyFill="1" applyBorder="1" applyAlignment="1">
      <alignment horizontal="left" vertical="top" wrapText="1"/>
    </xf>
    <xf numFmtId="0" fontId="3" fillId="6" borderId="10" xfId="0" applyFont="1" applyFill="1" applyBorder="1" applyAlignment="1">
      <alignment horizontal="left" vertical="top" wrapText="1"/>
    </xf>
    <xf numFmtId="0" fontId="3" fillId="0" borderId="10" xfId="0" applyFont="1" applyBorder="1" applyAlignment="1">
      <alignment horizontal="left" vertical="top" wrapText="1"/>
    </xf>
    <xf numFmtId="0" fontId="6" fillId="8" borderId="2" xfId="0" applyFont="1" applyFill="1" applyBorder="1" applyAlignment="1">
      <alignment horizontal="left" vertical="top" wrapText="1"/>
    </xf>
    <xf numFmtId="0" fontId="9" fillId="4" borderId="1" xfId="0" applyFont="1" applyFill="1" applyBorder="1" applyAlignment="1">
      <alignment horizontal="left" vertical="top" wrapText="1"/>
    </xf>
    <xf numFmtId="0" fontId="3" fillId="5" borderId="4" xfId="0" applyFont="1" applyFill="1" applyBorder="1" applyAlignment="1">
      <alignment horizontal="left" vertical="top" wrapText="1"/>
    </xf>
    <xf numFmtId="16" fontId="3" fillId="4" borderId="4" xfId="0" applyNumberFormat="1" applyFont="1" applyFill="1" applyBorder="1" applyAlignment="1">
      <alignment horizontal="left" vertical="top" wrapText="1"/>
    </xf>
    <xf numFmtId="0" fontId="3" fillId="4" borderId="13" xfId="0" applyFont="1" applyFill="1" applyBorder="1" applyAlignment="1">
      <alignment horizontal="left" vertical="top" wrapText="1"/>
    </xf>
    <xf numFmtId="0" fontId="3" fillId="4" borderId="14"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0" borderId="15" xfId="0" applyFont="1" applyBorder="1" applyAlignment="1">
      <alignment horizontal="left" vertical="top" wrapText="1"/>
    </xf>
    <xf numFmtId="0" fontId="7" fillId="4" borderId="1" xfId="0" applyFont="1" applyFill="1" applyBorder="1" applyAlignment="1">
      <alignment horizontal="left" vertical="top" wrapText="1"/>
    </xf>
    <xf numFmtId="0" fontId="1" fillId="4" borderId="15" xfId="1" applyFill="1" applyBorder="1" applyAlignment="1">
      <alignment horizontal="left" vertical="top" wrapText="1"/>
    </xf>
    <xf numFmtId="0" fontId="1" fillId="4" borderId="10" xfId="1" applyFill="1" applyBorder="1" applyAlignment="1">
      <alignment horizontal="left" vertical="top" wrapText="1"/>
    </xf>
    <xf numFmtId="0" fontId="4" fillId="0" borderId="1" xfId="0" applyFont="1" applyBorder="1" applyAlignment="1">
      <alignment horizontal="left" vertical="top" wrapText="1"/>
    </xf>
    <xf numFmtId="0" fontId="3" fillId="4" borderId="15" xfId="0" applyFont="1" applyFill="1" applyBorder="1" applyAlignment="1">
      <alignment horizontal="left" vertical="top" wrapText="1"/>
    </xf>
    <xf numFmtId="0" fontId="0" fillId="4" borderId="15" xfId="0" applyFill="1" applyBorder="1" applyAlignment="1">
      <alignment horizontal="left" vertical="top"/>
    </xf>
    <xf numFmtId="0" fontId="0" fillId="4" borderId="15" xfId="0" applyFill="1" applyBorder="1" applyAlignment="1">
      <alignment horizontal="left" vertical="top" wrapText="1"/>
    </xf>
    <xf numFmtId="0" fontId="0" fillId="0" borderId="0" xfId="0" applyAlignment="1">
      <alignment horizontal="left" vertical="top" wrapText="1"/>
    </xf>
    <xf numFmtId="0" fontId="3" fillId="4" borderId="0" xfId="0" applyFont="1" applyFill="1" applyAlignment="1">
      <alignment horizontal="left" vertical="top" wrapText="1"/>
    </xf>
    <xf numFmtId="0" fontId="0" fillId="4" borderId="16" xfId="0" applyFill="1" applyBorder="1" applyAlignment="1">
      <alignment horizontal="left" vertical="top"/>
    </xf>
    <xf numFmtId="0" fontId="3" fillId="0" borderId="17" xfId="0" applyFont="1" applyBorder="1" applyAlignment="1">
      <alignment horizontal="left" vertical="top" wrapText="1"/>
    </xf>
    <xf numFmtId="16" fontId="10" fillId="4" borderId="15" xfId="0" applyNumberFormat="1" applyFont="1" applyFill="1" applyBorder="1" applyAlignment="1">
      <alignment horizontal="left" vertical="top"/>
    </xf>
    <xf numFmtId="0" fontId="3" fillId="0" borderId="6" xfId="0" applyFont="1" applyBorder="1" applyAlignment="1">
      <alignment horizontal="left" vertical="top" wrapText="1"/>
    </xf>
    <xf numFmtId="0" fontId="0" fillId="4" borderId="6" xfId="0" applyFill="1" applyBorder="1" applyAlignment="1">
      <alignment horizontal="left" vertical="top" wrapText="1"/>
    </xf>
    <xf numFmtId="0" fontId="0" fillId="4" borderId="7" xfId="0" applyFill="1" applyBorder="1" applyAlignment="1">
      <alignment horizontal="left" vertical="top"/>
    </xf>
    <xf numFmtId="0" fontId="3" fillId="0" borderId="8" xfId="0" applyFont="1" applyBorder="1" applyAlignment="1">
      <alignment horizontal="left" vertical="top" wrapText="1"/>
    </xf>
    <xf numFmtId="0" fontId="0" fillId="0" borderId="15" xfId="0" applyBorder="1" applyAlignment="1">
      <alignment horizontal="left" vertical="top"/>
    </xf>
    <xf numFmtId="0" fontId="8" fillId="0" borderId="15" xfId="0" applyFont="1" applyBorder="1" applyAlignment="1">
      <alignment horizontal="left" vertical="top" wrapText="1"/>
    </xf>
    <xf numFmtId="16" fontId="0" fillId="0" borderId="15" xfId="0" applyNumberFormat="1"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3" fillId="0" borderId="18" xfId="0" applyFont="1" applyBorder="1" applyAlignment="1">
      <alignment horizontal="left" vertical="top" wrapText="1"/>
    </xf>
    <xf numFmtId="16" fontId="0" fillId="0" borderId="6" xfId="0" applyNumberFormat="1" applyBorder="1" applyAlignment="1">
      <alignment horizontal="left" vertical="top"/>
    </xf>
    <xf numFmtId="0" fontId="0" fillId="0" borderId="9" xfId="0" applyBorder="1" applyAlignment="1">
      <alignment horizontal="left" vertical="top"/>
    </xf>
    <xf numFmtId="0" fontId="1" fillId="0" borderId="6" xfId="1" applyBorder="1" applyAlignment="1">
      <alignment horizontal="left" vertical="top"/>
    </xf>
    <xf numFmtId="0" fontId="3" fillId="0" borderId="0" xfId="0" applyFont="1" applyAlignment="1">
      <alignment wrapText="1"/>
    </xf>
    <xf numFmtId="0" fontId="3" fillId="0" borderId="0" xfId="0" applyFont="1" applyAlignment="1">
      <alignment horizontal="left" vertical="top" wrapText="1"/>
    </xf>
    <xf numFmtId="0" fontId="13" fillId="0" borderId="0" xfId="0" applyFont="1" applyAlignment="1">
      <alignment horizontal="left" vertical="top" wrapText="1"/>
    </xf>
    <xf numFmtId="0" fontId="3" fillId="0" borderId="19" xfId="0" applyFont="1" applyBorder="1" applyAlignment="1">
      <alignment horizontal="left" vertical="top" wrapText="1"/>
    </xf>
    <xf numFmtId="0" fontId="3" fillId="4" borderId="19" xfId="0" applyFont="1" applyFill="1" applyBorder="1" applyAlignment="1">
      <alignment horizontal="left" vertical="top" wrapText="1"/>
    </xf>
    <xf numFmtId="0" fontId="6" fillId="0" borderId="6" xfId="0" applyFont="1" applyBorder="1" applyAlignment="1">
      <alignment horizontal="left" vertical="top" wrapText="1"/>
    </xf>
    <xf numFmtId="16" fontId="3" fillId="4" borderId="6" xfId="0" applyNumberFormat="1" applyFont="1" applyFill="1" applyBorder="1" applyAlignment="1">
      <alignment horizontal="left" vertical="top" wrapText="1"/>
    </xf>
    <xf numFmtId="0" fontId="0" fillId="0" borderId="0" xfId="0" applyAlignment="1">
      <alignment horizontal="left" vertical="top"/>
    </xf>
  </cellXfs>
  <cellStyles count="2">
    <cellStyle name="Hyperlink" xfId="1" builtinId="8"/>
    <cellStyle name="Normal" xfId="0" builtinId="0"/>
  </cellStyles>
  <dxfs count="9">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tint="0.499984740745262"/>
      </font>
      <fill>
        <patternFill patternType="solid">
          <bgColor theme="0" tint="-0.14999847407452621"/>
        </patternFill>
      </fill>
    </dxf>
    <dxf>
      <font>
        <color rgb="FF9C0006"/>
      </font>
      <fill>
        <patternFill patternType="solid">
          <bgColor theme="8" tint="0.39997558519241921"/>
        </patternFill>
      </fill>
    </dxf>
    <dxf>
      <font>
        <color rgb="FF9C0006"/>
      </font>
      <fill>
        <patternFill patternType="solid">
          <bgColor theme="5" tint="0.39997558519241921"/>
        </patternFill>
      </fill>
    </dxf>
    <dxf>
      <font>
        <color rgb="FF9C0006"/>
      </font>
      <fill>
        <patternFill patternType="solid">
          <bgColor rgb="FFF3C7FF"/>
        </patternFill>
      </fill>
    </dxf>
    <dxf>
      <font>
        <color rgb="FF9C0006"/>
      </font>
      <fill>
        <patternFill patternType="solid">
          <bgColor theme="6" tint="0.39997558519241921"/>
        </patternFill>
      </fill>
    </dxf>
    <dxf>
      <font>
        <color rgb="FF9C0006"/>
      </font>
      <fill>
        <patternFill patternType="solid">
          <bgColor theme="6" tint="-0.24997711111789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ssues.amazon.com/issues/P381912842" TargetMode="External"/><Relationship Id="rId3" Type="http://schemas.openxmlformats.org/officeDocument/2006/relationships/hyperlink" Target="https://issues.amazon.com/issues/D228940700" TargetMode="External"/><Relationship Id="rId7" Type="http://schemas.openxmlformats.org/officeDocument/2006/relationships/hyperlink" Target="https://issues.amazon.com/issues/D390445532" TargetMode="External"/><Relationship Id="rId12" Type="http://schemas.openxmlformats.org/officeDocument/2006/relationships/hyperlink" Target="https://issues.amazon.com/issues/D394278269" TargetMode="External"/><Relationship Id="rId2" Type="http://schemas.openxmlformats.org/officeDocument/2006/relationships/hyperlink" Target="https://issues.amazon.com/issues/D384213790" TargetMode="External"/><Relationship Id="rId1" Type="http://schemas.openxmlformats.org/officeDocument/2006/relationships/hyperlink" Target="https://tiny.amazon.com/apw1idae/amazsharxrsiteintl_lay15" TargetMode="External"/><Relationship Id="rId6" Type="http://schemas.openxmlformats.org/officeDocument/2006/relationships/hyperlink" Target="https://issues.amazon.com/issues/D390445532" TargetMode="External"/><Relationship Id="rId11" Type="http://schemas.openxmlformats.org/officeDocument/2006/relationships/hyperlink" Target="https://issues.amazon.com/issues/D398829091" TargetMode="External"/><Relationship Id="rId5" Type="http://schemas.openxmlformats.org/officeDocument/2006/relationships/hyperlink" Target="https://issues.amazon.com/issues/D375281274" TargetMode="External"/><Relationship Id="rId10" Type="http://schemas.openxmlformats.org/officeDocument/2006/relationships/hyperlink" Target="https://quip-amazon.com/gKQaAoeuIGs7/IES6-uSTA-Launch-Tracker" TargetMode="External"/><Relationship Id="rId4" Type="http://schemas.openxmlformats.org/officeDocument/2006/relationships/hyperlink" Target="https://issues.amazon.com/issues/D113735986" TargetMode="External"/><Relationship Id="rId9" Type="http://schemas.openxmlformats.org/officeDocument/2006/relationships/hyperlink" Target="https://issues.amazon.com/issues/P3892231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1"/>
  <sheetViews>
    <sheetView tabSelected="1" topLeftCell="A28" workbookViewId="0">
      <selection activeCell="G29" sqref="G29"/>
    </sheetView>
  </sheetViews>
  <sheetFormatPr defaultRowHeight="15"/>
  <sheetData>
    <row r="1" spans="1:27" ht="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row>
    <row r="2" spans="1:27" ht="409.6">
      <c r="A2" s="3" t="s">
        <v>27</v>
      </c>
      <c r="B2" s="3" t="s">
        <v>28</v>
      </c>
      <c r="C2" s="3" t="s">
        <v>29</v>
      </c>
      <c r="D2" s="3" t="s">
        <v>30</v>
      </c>
      <c r="E2" s="4" t="s">
        <v>31</v>
      </c>
      <c r="F2" s="3">
        <v>1.1000000000000001</v>
      </c>
      <c r="G2" s="3" t="s">
        <v>32</v>
      </c>
      <c r="H2" s="3" t="s">
        <v>28</v>
      </c>
      <c r="I2" s="3" t="s">
        <v>33</v>
      </c>
      <c r="J2" s="5" t="s">
        <v>34</v>
      </c>
      <c r="K2" s="3"/>
      <c r="L2" s="6" t="s">
        <v>35</v>
      </c>
      <c r="M2" s="3"/>
      <c r="N2" s="3" t="s">
        <v>36</v>
      </c>
      <c r="O2" s="3" t="s">
        <v>37</v>
      </c>
      <c r="P2" s="3" t="s">
        <v>38</v>
      </c>
      <c r="Q2" s="3"/>
      <c r="R2" s="3" t="s">
        <v>39</v>
      </c>
      <c r="S2" s="3" t="s">
        <v>40</v>
      </c>
      <c r="T2" s="3" t="s">
        <v>41</v>
      </c>
      <c r="U2" s="3" t="s">
        <v>42</v>
      </c>
      <c r="V2" s="3" t="s">
        <v>43</v>
      </c>
      <c r="W2" s="7"/>
      <c r="X2" s="8" t="s">
        <v>44</v>
      </c>
      <c r="Y2" s="3">
        <v>64</v>
      </c>
      <c r="Z2" s="3">
        <v>64</v>
      </c>
      <c r="AA2" s="9" t="s">
        <v>45</v>
      </c>
    </row>
    <row r="3" spans="1:27" ht="377.25">
      <c r="A3" s="3" t="s">
        <v>27</v>
      </c>
      <c r="B3" s="3" t="s">
        <v>28</v>
      </c>
      <c r="C3" s="3" t="s">
        <v>29</v>
      </c>
      <c r="D3" s="3" t="s">
        <v>46</v>
      </c>
      <c r="E3" s="4" t="s">
        <v>47</v>
      </c>
      <c r="F3" s="3">
        <v>1.2</v>
      </c>
      <c r="G3" s="3" t="s">
        <v>48</v>
      </c>
      <c r="H3" s="3" t="s">
        <v>28</v>
      </c>
      <c r="I3" s="3" t="s">
        <v>49</v>
      </c>
      <c r="J3" s="3" t="s">
        <v>50</v>
      </c>
      <c r="K3" s="3"/>
      <c r="L3" s="10" t="s">
        <v>51</v>
      </c>
      <c r="M3" s="3"/>
      <c r="N3" s="11">
        <v>46068</v>
      </c>
      <c r="O3" s="3" t="s">
        <v>52</v>
      </c>
      <c r="P3" s="3"/>
      <c r="Q3" s="3"/>
      <c r="R3" s="3" t="s">
        <v>53</v>
      </c>
      <c r="S3" s="3" t="s">
        <v>40</v>
      </c>
      <c r="T3" s="3" t="s">
        <v>41</v>
      </c>
      <c r="U3" s="3" t="s">
        <v>42</v>
      </c>
      <c r="V3" s="3" t="s">
        <v>43</v>
      </c>
      <c r="W3" s="7"/>
      <c r="X3" s="3"/>
      <c r="Y3" s="3">
        <v>16</v>
      </c>
      <c r="Z3" s="3">
        <v>16</v>
      </c>
      <c r="AA3" s="9" t="s">
        <v>45</v>
      </c>
    </row>
    <row r="4" spans="1:27" ht="409.6">
      <c r="A4" s="3" t="s">
        <v>27</v>
      </c>
      <c r="B4" s="3" t="s">
        <v>28</v>
      </c>
      <c r="C4" s="3" t="s">
        <v>29</v>
      </c>
      <c r="D4" s="3" t="s">
        <v>30</v>
      </c>
      <c r="E4" s="3" t="s">
        <v>54</v>
      </c>
      <c r="F4" s="3">
        <v>1.4</v>
      </c>
      <c r="G4" s="3" t="s">
        <v>55</v>
      </c>
      <c r="H4" s="3" t="s">
        <v>28</v>
      </c>
      <c r="I4" s="3" t="s">
        <v>33</v>
      </c>
      <c r="J4" s="3" t="s">
        <v>56</v>
      </c>
      <c r="K4" s="11">
        <v>46052</v>
      </c>
      <c r="L4" s="12"/>
      <c r="M4" s="11"/>
      <c r="N4" s="13" t="s">
        <v>57</v>
      </c>
      <c r="O4" s="3" t="s">
        <v>52</v>
      </c>
      <c r="P4" s="3" t="s">
        <v>58</v>
      </c>
      <c r="Q4" s="3"/>
      <c r="R4" s="3" t="s">
        <v>59</v>
      </c>
      <c r="S4" s="3" t="s">
        <v>40</v>
      </c>
      <c r="T4" s="3" t="s">
        <v>42</v>
      </c>
      <c r="U4" s="3" t="s">
        <v>60</v>
      </c>
      <c r="V4" s="3" t="s">
        <v>61</v>
      </c>
      <c r="W4" s="3" t="s">
        <v>62</v>
      </c>
      <c r="X4" s="14" t="s">
        <v>63</v>
      </c>
      <c r="Y4" s="3">
        <v>10</v>
      </c>
      <c r="Z4" s="3">
        <v>10</v>
      </c>
      <c r="AA4" s="9" t="s">
        <v>45</v>
      </c>
    </row>
    <row r="5" spans="1:27" ht="409.6">
      <c r="A5" s="3" t="s">
        <v>27</v>
      </c>
      <c r="B5" s="3" t="s">
        <v>64</v>
      </c>
      <c r="C5" s="3" t="s">
        <v>65</v>
      </c>
      <c r="D5" s="3" t="s">
        <v>30</v>
      </c>
      <c r="E5" s="9" t="s">
        <v>66</v>
      </c>
      <c r="F5" s="3">
        <v>1.5</v>
      </c>
      <c r="G5" s="3" t="s">
        <v>67</v>
      </c>
      <c r="H5" s="3" t="s">
        <v>28</v>
      </c>
      <c r="I5" s="3" t="s">
        <v>33</v>
      </c>
      <c r="J5" s="3" t="s">
        <v>68</v>
      </c>
      <c r="K5" s="3"/>
      <c r="L5" s="6" t="s">
        <v>69</v>
      </c>
      <c r="M5" s="3"/>
      <c r="N5" s="3" t="s">
        <v>60</v>
      </c>
      <c r="O5" s="3" t="s">
        <v>70</v>
      </c>
      <c r="P5" s="3" t="s">
        <v>71</v>
      </c>
      <c r="Q5" s="3"/>
      <c r="R5" s="3" t="s">
        <v>59</v>
      </c>
      <c r="S5" s="3" t="s">
        <v>40</v>
      </c>
      <c r="T5" s="3" t="s">
        <v>42</v>
      </c>
      <c r="U5" s="3" t="s">
        <v>60</v>
      </c>
      <c r="V5" s="3" t="s">
        <v>72</v>
      </c>
      <c r="W5" s="3"/>
      <c r="X5" s="15" t="s">
        <v>63</v>
      </c>
      <c r="Y5" s="3">
        <v>7</v>
      </c>
      <c r="Z5" s="3">
        <v>20</v>
      </c>
      <c r="AA5" s="9" t="s">
        <v>45</v>
      </c>
    </row>
    <row r="6" spans="1:27" ht="409.6">
      <c r="A6" s="3" t="s">
        <v>27</v>
      </c>
      <c r="B6" s="3" t="s">
        <v>28</v>
      </c>
      <c r="C6" s="3" t="s">
        <v>65</v>
      </c>
      <c r="D6" s="3" t="s">
        <v>30</v>
      </c>
      <c r="E6" s="3" t="s">
        <v>73</v>
      </c>
      <c r="F6" s="3">
        <v>1.6</v>
      </c>
      <c r="G6" s="3" t="s">
        <v>74</v>
      </c>
      <c r="H6" s="3" t="s">
        <v>28</v>
      </c>
      <c r="I6" s="3" t="s">
        <v>33</v>
      </c>
      <c r="J6" s="5" t="s">
        <v>75</v>
      </c>
      <c r="K6" s="3"/>
      <c r="L6" s="6" t="s">
        <v>35</v>
      </c>
      <c r="M6" s="3"/>
      <c r="N6" s="11">
        <v>46111</v>
      </c>
      <c r="O6" s="3" t="s">
        <v>76</v>
      </c>
      <c r="P6" s="3"/>
      <c r="Q6" s="3"/>
      <c r="R6" s="3" t="s">
        <v>77</v>
      </c>
      <c r="S6" s="3" t="s">
        <v>40</v>
      </c>
      <c r="T6" s="3" t="s">
        <v>41</v>
      </c>
      <c r="U6" s="7"/>
      <c r="V6" s="3" t="s">
        <v>78</v>
      </c>
      <c r="W6" s="3"/>
      <c r="X6" s="3"/>
      <c r="Y6" s="3">
        <v>8</v>
      </c>
      <c r="Z6" s="3">
        <v>24</v>
      </c>
      <c r="AA6" s="9" t="s">
        <v>45</v>
      </c>
    </row>
    <row r="7" spans="1:27" ht="409.6">
      <c r="A7" s="3" t="s">
        <v>27</v>
      </c>
      <c r="B7" s="3" t="s">
        <v>28</v>
      </c>
      <c r="C7" s="3" t="s">
        <v>79</v>
      </c>
      <c r="D7" s="3" t="s">
        <v>30</v>
      </c>
      <c r="E7" s="3" t="s">
        <v>80</v>
      </c>
      <c r="F7" s="3">
        <v>6.1</v>
      </c>
      <c r="G7" s="3" t="s">
        <v>81</v>
      </c>
      <c r="H7" s="3" t="s">
        <v>28</v>
      </c>
      <c r="I7" s="3" t="s">
        <v>82</v>
      </c>
      <c r="J7" s="3" t="s">
        <v>83</v>
      </c>
      <c r="K7" s="3"/>
      <c r="L7" s="6" t="s">
        <v>84</v>
      </c>
      <c r="M7" s="3"/>
      <c r="N7" s="11">
        <v>46068</v>
      </c>
      <c r="O7" s="3" t="s">
        <v>52</v>
      </c>
      <c r="P7" s="3"/>
      <c r="Q7" s="3"/>
      <c r="R7" s="3" t="s">
        <v>77</v>
      </c>
      <c r="S7" s="3" t="s">
        <v>40</v>
      </c>
      <c r="T7" s="3" t="s">
        <v>41</v>
      </c>
      <c r="U7" s="3" t="s">
        <v>42</v>
      </c>
      <c r="V7" s="3" t="s">
        <v>85</v>
      </c>
      <c r="W7" s="7"/>
      <c r="X7" s="8" t="s">
        <v>86</v>
      </c>
      <c r="Y7" s="3">
        <v>48</v>
      </c>
      <c r="Z7" s="3">
        <v>48</v>
      </c>
      <c r="AA7" s="9" t="s">
        <v>45</v>
      </c>
    </row>
    <row r="8" spans="1:27" ht="404.25">
      <c r="A8" s="3" t="s">
        <v>27</v>
      </c>
      <c r="B8" s="3" t="s">
        <v>28</v>
      </c>
      <c r="C8" s="3" t="s">
        <v>79</v>
      </c>
      <c r="D8" s="3" t="s">
        <v>46</v>
      </c>
      <c r="E8" s="4" t="s">
        <v>87</v>
      </c>
      <c r="F8" s="3">
        <v>6.2</v>
      </c>
      <c r="G8" s="3" t="s">
        <v>88</v>
      </c>
      <c r="H8" s="3" t="s">
        <v>28</v>
      </c>
      <c r="I8" s="3" t="s">
        <v>49</v>
      </c>
      <c r="J8" s="3" t="s">
        <v>89</v>
      </c>
      <c r="K8" s="3"/>
      <c r="L8" s="10" t="s">
        <v>69</v>
      </c>
      <c r="M8" s="3"/>
      <c r="N8" s="11">
        <v>46203</v>
      </c>
      <c r="O8" s="3" t="s">
        <v>37</v>
      </c>
      <c r="P8" s="3"/>
      <c r="Q8" s="3"/>
      <c r="R8" s="3" t="s">
        <v>53</v>
      </c>
      <c r="S8" s="3" t="s">
        <v>40</v>
      </c>
      <c r="T8" s="3" t="s">
        <v>42</v>
      </c>
      <c r="U8" s="7"/>
      <c r="V8" s="3" t="s">
        <v>90</v>
      </c>
      <c r="W8" s="3"/>
      <c r="X8" s="3"/>
      <c r="Y8" s="3">
        <v>8</v>
      </c>
      <c r="Z8" s="3">
        <v>32</v>
      </c>
      <c r="AA8" s="9" t="s">
        <v>45</v>
      </c>
    </row>
    <row r="9" spans="1:27" ht="409.6">
      <c r="A9" s="16" t="s">
        <v>27</v>
      </c>
      <c r="B9" s="16" t="s">
        <v>64</v>
      </c>
      <c r="C9" s="16" t="s">
        <v>79</v>
      </c>
      <c r="D9" s="16" t="s">
        <v>30</v>
      </c>
      <c r="E9" s="17" t="s">
        <v>91</v>
      </c>
      <c r="F9" s="16">
        <v>6.3</v>
      </c>
      <c r="G9" s="17" t="s">
        <v>92</v>
      </c>
      <c r="H9" s="16" t="s">
        <v>28</v>
      </c>
      <c r="I9" s="16" t="s">
        <v>33</v>
      </c>
      <c r="J9" s="16" t="s">
        <v>93</v>
      </c>
      <c r="K9" s="16"/>
      <c r="L9" s="18" t="s">
        <v>94</v>
      </c>
      <c r="M9" s="16"/>
      <c r="N9" s="16" t="s">
        <v>60</v>
      </c>
      <c r="O9" s="16" t="s">
        <v>95</v>
      </c>
      <c r="P9" s="19" t="s">
        <v>96</v>
      </c>
      <c r="Q9" s="16"/>
      <c r="R9" s="16" t="s">
        <v>59</v>
      </c>
      <c r="S9" s="16" t="s">
        <v>40</v>
      </c>
      <c r="T9" s="16" t="s">
        <v>42</v>
      </c>
      <c r="U9" s="16" t="s">
        <v>60</v>
      </c>
      <c r="V9" s="16" t="s">
        <v>90</v>
      </c>
      <c r="W9" s="16"/>
      <c r="X9" s="20" t="s">
        <v>63</v>
      </c>
      <c r="Y9" s="16">
        <v>8</v>
      </c>
      <c r="Z9" s="16">
        <v>8</v>
      </c>
      <c r="AA9" s="17" t="s">
        <v>45</v>
      </c>
    </row>
    <row r="10" spans="1:27" ht="275.25">
      <c r="A10" s="21" t="s">
        <v>27</v>
      </c>
      <c r="B10" s="21" t="s">
        <v>28</v>
      </c>
      <c r="C10" s="22" t="s">
        <v>79</v>
      </c>
      <c r="D10" s="21" t="s">
        <v>30</v>
      </c>
      <c r="E10" s="23" t="s">
        <v>97</v>
      </c>
      <c r="F10" s="24">
        <v>6.4</v>
      </c>
      <c r="G10" s="23" t="s">
        <v>98</v>
      </c>
      <c r="H10" s="25" t="s">
        <v>28</v>
      </c>
      <c r="I10" s="16" t="s">
        <v>99</v>
      </c>
      <c r="J10" s="22"/>
      <c r="K10" s="22"/>
      <c r="L10" s="25"/>
      <c r="M10" s="26"/>
      <c r="N10" s="22"/>
      <c r="O10" s="27">
        <v>46111</v>
      </c>
      <c r="P10" s="22"/>
      <c r="Q10" s="22"/>
      <c r="R10" s="16" t="s">
        <v>99</v>
      </c>
      <c r="S10" s="16" t="s">
        <v>40</v>
      </c>
      <c r="T10" s="16" t="s">
        <v>42</v>
      </c>
      <c r="U10" s="28" t="s">
        <v>60</v>
      </c>
      <c r="V10" s="21" t="s">
        <v>100</v>
      </c>
      <c r="W10" s="29"/>
      <c r="X10" s="22"/>
      <c r="Y10" s="22"/>
      <c r="Z10" s="22"/>
      <c r="AA10" s="22"/>
    </row>
    <row r="11" spans="1:27" ht="351">
      <c r="A11" s="30" t="s">
        <v>27</v>
      </c>
      <c r="B11" s="30" t="s">
        <v>28</v>
      </c>
      <c r="C11" s="30" t="s">
        <v>101</v>
      </c>
      <c r="D11" s="30" t="s">
        <v>102</v>
      </c>
      <c r="E11" s="30" t="s">
        <v>103</v>
      </c>
      <c r="F11" s="30">
        <v>7.1</v>
      </c>
      <c r="G11" s="30" t="s">
        <v>104</v>
      </c>
      <c r="H11" s="30" t="s">
        <v>64</v>
      </c>
      <c r="I11" s="30" t="s">
        <v>49</v>
      </c>
      <c r="J11" s="31" t="s">
        <v>105</v>
      </c>
      <c r="K11" s="30"/>
      <c r="L11" s="12" t="s">
        <v>94</v>
      </c>
      <c r="M11" s="30"/>
      <c r="N11" s="32">
        <v>46080</v>
      </c>
      <c r="O11" s="30" t="s">
        <v>37</v>
      </c>
      <c r="P11" s="30"/>
      <c r="Q11" s="33"/>
      <c r="R11" s="34" t="s">
        <v>53</v>
      </c>
      <c r="S11" s="34" t="s">
        <v>106</v>
      </c>
      <c r="T11" s="21" t="s">
        <v>41</v>
      </c>
      <c r="U11" s="35"/>
      <c r="V11" s="30" t="s">
        <v>107</v>
      </c>
      <c r="W11" s="36"/>
      <c r="X11" s="30"/>
      <c r="Y11" s="30">
        <v>24</v>
      </c>
      <c r="Z11" s="30">
        <v>24</v>
      </c>
      <c r="AA11" s="37" t="s">
        <v>45</v>
      </c>
    </row>
    <row r="12" spans="1:27" ht="390.75">
      <c r="A12" s="3" t="s">
        <v>27</v>
      </c>
      <c r="B12" s="3" t="s">
        <v>28</v>
      </c>
      <c r="C12" s="3" t="s">
        <v>79</v>
      </c>
      <c r="D12" s="3" t="s">
        <v>46</v>
      </c>
      <c r="E12" s="4" t="s">
        <v>108</v>
      </c>
      <c r="F12" s="3">
        <v>7.2</v>
      </c>
      <c r="G12" s="3" t="s">
        <v>109</v>
      </c>
      <c r="H12" s="3" t="s">
        <v>28</v>
      </c>
      <c r="I12" s="3" t="s">
        <v>49</v>
      </c>
      <c r="J12" s="3" t="s">
        <v>110</v>
      </c>
      <c r="K12" s="3"/>
      <c r="L12" s="10" t="s">
        <v>111</v>
      </c>
      <c r="M12" s="3"/>
      <c r="N12" s="11">
        <v>46111</v>
      </c>
      <c r="O12" s="3" t="s">
        <v>37</v>
      </c>
      <c r="P12" s="3"/>
      <c r="Q12" s="3"/>
      <c r="R12" s="30" t="s">
        <v>53</v>
      </c>
      <c r="S12" s="30" t="s">
        <v>106</v>
      </c>
      <c r="T12" s="30" t="s">
        <v>41</v>
      </c>
      <c r="U12" s="7"/>
      <c r="V12" s="3" t="s">
        <v>112</v>
      </c>
      <c r="W12" s="3"/>
      <c r="X12" s="3"/>
      <c r="Y12" s="3">
        <v>16</v>
      </c>
      <c r="Z12" s="3">
        <v>32</v>
      </c>
      <c r="AA12" s="9" t="s">
        <v>45</v>
      </c>
    </row>
    <row r="13" spans="1:27" ht="409.6">
      <c r="A13" s="3" t="s">
        <v>27</v>
      </c>
      <c r="B13" s="3" t="s">
        <v>28</v>
      </c>
      <c r="C13" s="3" t="s">
        <v>101</v>
      </c>
      <c r="D13" s="3" t="s">
        <v>30</v>
      </c>
      <c r="E13" s="3" t="s">
        <v>113</v>
      </c>
      <c r="F13" s="3">
        <v>7.3</v>
      </c>
      <c r="G13" s="3" t="s">
        <v>114</v>
      </c>
      <c r="H13" s="3" t="s">
        <v>28</v>
      </c>
      <c r="I13" s="3" t="s">
        <v>33</v>
      </c>
      <c r="J13" s="3" t="s">
        <v>115</v>
      </c>
      <c r="K13" s="3"/>
      <c r="L13" s="38"/>
      <c r="M13" s="3"/>
      <c r="N13" s="11">
        <v>46042</v>
      </c>
      <c r="O13" s="3" t="s">
        <v>95</v>
      </c>
      <c r="P13" s="39" t="s">
        <v>116</v>
      </c>
      <c r="Q13" s="3"/>
      <c r="R13" s="3" t="s">
        <v>117</v>
      </c>
      <c r="S13" s="3" t="s">
        <v>106</v>
      </c>
      <c r="T13" s="3" t="s">
        <v>42</v>
      </c>
      <c r="U13" s="3" t="s">
        <v>60</v>
      </c>
      <c r="V13" s="3" t="s">
        <v>118</v>
      </c>
      <c r="W13" s="3"/>
      <c r="X13" s="15" t="s">
        <v>63</v>
      </c>
      <c r="Y13" s="3">
        <v>4</v>
      </c>
      <c r="Z13" s="3">
        <v>4</v>
      </c>
      <c r="AA13" s="9" t="s">
        <v>119</v>
      </c>
    </row>
    <row r="14" spans="1:27" ht="409.6">
      <c r="A14" s="16" t="s">
        <v>27</v>
      </c>
      <c r="B14" s="16" t="s">
        <v>28</v>
      </c>
      <c r="C14" s="16" t="s">
        <v>120</v>
      </c>
      <c r="D14" s="16"/>
      <c r="E14" s="40" t="s">
        <v>121</v>
      </c>
      <c r="F14" s="16">
        <v>7.4</v>
      </c>
      <c r="G14" s="16" t="s">
        <v>122</v>
      </c>
      <c r="H14" s="16" t="s">
        <v>28</v>
      </c>
      <c r="I14" s="16" t="s">
        <v>49</v>
      </c>
      <c r="J14" s="16" t="s">
        <v>123</v>
      </c>
      <c r="K14" s="16"/>
      <c r="L14" s="10" t="s">
        <v>124</v>
      </c>
      <c r="M14" s="16"/>
      <c r="N14" s="41">
        <v>46111</v>
      </c>
      <c r="O14" s="16" t="s">
        <v>52</v>
      </c>
      <c r="P14" s="16"/>
      <c r="Q14" s="16"/>
      <c r="R14" s="16" t="s">
        <v>53</v>
      </c>
      <c r="S14" s="16" t="s">
        <v>106</v>
      </c>
      <c r="T14" s="16" t="s">
        <v>41</v>
      </c>
      <c r="U14" s="16" t="s">
        <v>60</v>
      </c>
      <c r="V14" s="16" t="s">
        <v>112</v>
      </c>
      <c r="W14" s="16"/>
      <c r="X14" s="16"/>
      <c r="Y14" s="16">
        <v>8</v>
      </c>
      <c r="Z14" s="16">
        <v>8</v>
      </c>
      <c r="AA14" s="17" t="s">
        <v>119</v>
      </c>
    </row>
    <row r="15" spans="1:27" ht="337.5">
      <c r="A15" s="3" t="s">
        <v>27</v>
      </c>
      <c r="B15" s="3" t="s">
        <v>125</v>
      </c>
      <c r="C15" s="3" t="s">
        <v>126</v>
      </c>
      <c r="D15" s="42" t="s">
        <v>30</v>
      </c>
      <c r="E15" s="23" t="s">
        <v>127</v>
      </c>
      <c r="F15" s="43">
        <v>7.5</v>
      </c>
      <c r="G15" s="23" t="s">
        <v>128</v>
      </c>
      <c r="H15" s="44" t="s">
        <v>28</v>
      </c>
      <c r="I15" s="3" t="s">
        <v>33</v>
      </c>
      <c r="J15" s="45" t="s">
        <v>129</v>
      </c>
      <c r="K15" s="3"/>
      <c r="L15" s="12"/>
      <c r="M15" s="3"/>
      <c r="N15" s="3"/>
      <c r="O15" s="3" t="s">
        <v>95</v>
      </c>
      <c r="P15" s="46"/>
      <c r="Q15" s="3"/>
      <c r="R15" s="3" t="s">
        <v>59</v>
      </c>
      <c r="S15" s="3" t="s">
        <v>106</v>
      </c>
      <c r="T15" s="3" t="s">
        <v>42</v>
      </c>
      <c r="U15" s="3" t="s">
        <v>60</v>
      </c>
      <c r="V15" s="3" t="s">
        <v>130</v>
      </c>
      <c r="W15" s="3" t="s">
        <v>62</v>
      </c>
      <c r="X15" s="47" t="s">
        <v>131</v>
      </c>
      <c r="Y15" s="3">
        <v>8</v>
      </c>
      <c r="Z15" s="3">
        <v>8</v>
      </c>
      <c r="AA15" s="45" t="s">
        <v>125</v>
      </c>
    </row>
    <row r="16" spans="1:27" ht="409.6">
      <c r="A16" s="30" t="s">
        <v>27</v>
      </c>
      <c r="B16" s="30" t="s">
        <v>28</v>
      </c>
      <c r="C16" s="30" t="s">
        <v>132</v>
      </c>
      <c r="D16" s="30" t="s">
        <v>30</v>
      </c>
      <c r="E16" s="30" t="s">
        <v>133</v>
      </c>
      <c r="F16" s="30">
        <v>8.1</v>
      </c>
      <c r="G16" s="30" t="s">
        <v>134</v>
      </c>
      <c r="H16" s="30" t="s">
        <v>28</v>
      </c>
      <c r="I16" s="30" t="s">
        <v>33</v>
      </c>
      <c r="J16" s="37" t="s">
        <v>135</v>
      </c>
      <c r="K16" s="30"/>
      <c r="L16" s="12" t="s">
        <v>136</v>
      </c>
      <c r="M16" s="30"/>
      <c r="N16" s="32">
        <v>46052</v>
      </c>
      <c r="O16" s="30" t="s">
        <v>95</v>
      </c>
      <c r="P16" s="30"/>
      <c r="Q16" s="30"/>
      <c r="R16" s="30" t="s">
        <v>59</v>
      </c>
      <c r="S16" s="30" t="s">
        <v>106</v>
      </c>
      <c r="T16" s="30" t="s">
        <v>41</v>
      </c>
      <c r="U16" s="30" t="s">
        <v>60</v>
      </c>
      <c r="V16" s="30" t="s">
        <v>137</v>
      </c>
      <c r="W16" s="30"/>
      <c r="X16" s="48" t="s">
        <v>131</v>
      </c>
      <c r="Y16" s="30">
        <v>4</v>
      </c>
      <c r="Z16" s="30">
        <v>4</v>
      </c>
      <c r="AA16" s="37" t="s">
        <v>119</v>
      </c>
    </row>
    <row r="17" spans="1:27" ht="409.6">
      <c r="A17" s="3" t="s">
        <v>27</v>
      </c>
      <c r="B17" s="3" t="s">
        <v>28</v>
      </c>
      <c r="C17" s="3" t="s">
        <v>138</v>
      </c>
      <c r="D17" s="3"/>
      <c r="E17" s="4" t="s">
        <v>139</v>
      </c>
      <c r="F17" s="3">
        <f>F16+0.1</f>
        <v>8.1999999999999993</v>
      </c>
      <c r="G17" s="3" t="s">
        <v>140</v>
      </c>
      <c r="H17" s="3" t="s">
        <v>28</v>
      </c>
      <c r="I17" s="3" t="s">
        <v>49</v>
      </c>
      <c r="J17" s="3" t="s">
        <v>141</v>
      </c>
      <c r="K17" s="3"/>
      <c r="L17" s="10" t="s">
        <v>142</v>
      </c>
      <c r="M17" s="3"/>
      <c r="N17" s="11">
        <v>46111</v>
      </c>
      <c r="O17" s="3" t="s">
        <v>52</v>
      </c>
      <c r="P17" s="3"/>
      <c r="Q17" s="3"/>
      <c r="R17" s="3" t="s">
        <v>53</v>
      </c>
      <c r="S17" s="3" t="s">
        <v>106</v>
      </c>
      <c r="T17" s="3" t="s">
        <v>41</v>
      </c>
      <c r="U17" s="3" t="s">
        <v>60</v>
      </c>
      <c r="V17" s="3" t="s">
        <v>112</v>
      </c>
      <c r="W17" s="3"/>
      <c r="X17" s="3"/>
      <c r="Y17" s="3">
        <v>32</v>
      </c>
      <c r="Z17" s="3">
        <v>32</v>
      </c>
      <c r="AA17" s="9" t="s">
        <v>143</v>
      </c>
    </row>
    <row r="18" spans="1:27" ht="409.6">
      <c r="A18" s="3" t="s">
        <v>27</v>
      </c>
      <c r="B18" s="3" t="s">
        <v>28</v>
      </c>
      <c r="C18" s="3" t="s">
        <v>65</v>
      </c>
      <c r="D18" s="3" t="s">
        <v>46</v>
      </c>
      <c r="E18" s="3" t="s">
        <v>144</v>
      </c>
      <c r="F18" s="3">
        <f>F17+0.1</f>
        <v>8.2999999999999989</v>
      </c>
      <c r="G18" s="3" t="s">
        <v>145</v>
      </c>
      <c r="H18" s="3" t="s">
        <v>28</v>
      </c>
      <c r="I18" s="3" t="s">
        <v>49</v>
      </c>
      <c r="J18" s="3" t="s">
        <v>146</v>
      </c>
      <c r="K18" s="3"/>
      <c r="L18" s="10" t="s">
        <v>147</v>
      </c>
      <c r="M18" s="3"/>
      <c r="N18" s="11">
        <v>46203</v>
      </c>
      <c r="O18" s="3" t="s">
        <v>37</v>
      </c>
      <c r="P18" s="3"/>
      <c r="Q18" s="3"/>
      <c r="R18" s="3" t="s">
        <v>53</v>
      </c>
      <c r="S18" s="3" t="s">
        <v>106</v>
      </c>
      <c r="T18" s="3" t="s">
        <v>42</v>
      </c>
      <c r="U18" s="3" t="s">
        <v>60</v>
      </c>
      <c r="V18" s="3" t="s">
        <v>112</v>
      </c>
      <c r="W18" s="3"/>
      <c r="X18" s="3"/>
      <c r="Y18" s="3">
        <v>16</v>
      </c>
      <c r="Z18" s="3">
        <v>16</v>
      </c>
      <c r="AA18" s="9" t="s">
        <v>143</v>
      </c>
    </row>
    <row r="19" spans="1:27" ht="409.6">
      <c r="A19" s="3" t="s">
        <v>27</v>
      </c>
      <c r="B19" s="3" t="s">
        <v>28</v>
      </c>
      <c r="C19" s="3" t="s">
        <v>148</v>
      </c>
      <c r="D19" s="3"/>
      <c r="E19" s="4" t="s">
        <v>149</v>
      </c>
      <c r="F19" s="3">
        <f>F18+0.1</f>
        <v>8.3999999999999986</v>
      </c>
      <c r="G19" s="3" t="s">
        <v>150</v>
      </c>
      <c r="H19" s="3" t="s">
        <v>28</v>
      </c>
      <c r="I19" s="3" t="s">
        <v>49</v>
      </c>
      <c r="J19" s="3" t="s">
        <v>151</v>
      </c>
      <c r="K19" s="3"/>
      <c r="L19" s="10" t="s">
        <v>152</v>
      </c>
      <c r="M19" s="3"/>
      <c r="N19" s="11">
        <v>46111</v>
      </c>
      <c r="O19" s="3" t="s">
        <v>52</v>
      </c>
      <c r="P19" s="3"/>
      <c r="Q19" s="3"/>
      <c r="R19" s="3" t="s">
        <v>53</v>
      </c>
      <c r="S19" s="3" t="s">
        <v>106</v>
      </c>
      <c r="T19" s="3" t="s">
        <v>41</v>
      </c>
      <c r="U19" s="3" t="s">
        <v>60</v>
      </c>
      <c r="V19" s="3" t="s">
        <v>112</v>
      </c>
      <c r="W19" s="3"/>
      <c r="X19" s="3"/>
      <c r="Y19" s="3">
        <v>20</v>
      </c>
      <c r="Z19" s="3">
        <v>20</v>
      </c>
      <c r="AA19" s="9" t="s">
        <v>143</v>
      </c>
    </row>
    <row r="20" spans="1:27" ht="297">
      <c r="A20" s="3" t="s">
        <v>27</v>
      </c>
      <c r="B20" s="3" t="s">
        <v>28</v>
      </c>
      <c r="C20" s="3" t="s">
        <v>153</v>
      </c>
      <c r="D20" s="3" t="s">
        <v>102</v>
      </c>
      <c r="E20" s="9" t="s">
        <v>154</v>
      </c>
      <c r="F20" s="3">
        <v>9.1</v>
      </c>
      <c r="G20" s="3" t="s">
        <v>155</v>
      </c>
      <c r="H20" s="3" t="s">
        <v>28</v>
      </c>
      <c r="I20" s="3" t="s">
        <v>49</v>
      </c>
      <c r="J20" s="3" t="s">
        <v>156</v>
      </c>
      <c r="K20" s="3"/>
      <c r="L20" s="10" t="s">
        <v>157</v>
      </c>
      <c r="M20" s="3"/>
      <c r="N20" s="11">
        <v>46111</v>
      </c>
      <c r="O20" s="3" t="s">
        <v>52</v>
      </c>
      <c r="P20" s="3"/>
      <c r="Q20" s="3"/>
      <c r="R20" s="3" t="s">
        <v>53</v>
      </c>
      <c r="S20" s="3" t="s">
        <v>40</v>
      </c>
      <c r="T20" s="3" t="s">
        <v>42</v>
      </c>
      <c r="U20" s="3" t="s">
        <v>60</v>
      </c>
      <c r="V20" s="3" t="s">
        <v>158</v>
      </c>
      <c r="W20" s="3"/>
      <c r="X20" s="3"/>
      <c r="Y20" s="3">
        <v>8</v>
      </c>
      <c r="Z20" s="3">
        <v>12</v>
      </c>
      <c r="AA20" s="9" t="s">
        <v>143</v>
      </c>
    </row>
    <row r="21" spans="1:27" ht="409.6">
      <c r="A21" s="3" t="s">
        <v>27</v>
      </c>
      <c r="B21" s="3" t="s">
        <v>28</v>
      </c>
      <c r="C21" s="3" t="s">
        <v>159</v>
      </c>
      <c r="D21" s="3" t="s">
        <v>30</v>
      </c>
      <c r="E21" s="3" t="s">
        <v>160</v>
      </c>
      <c r="F21" s="3">
        <f>F20+0.1</f>
        <v>9.1999999999999993</v>
      </c>
      <c r="G21" s="3" t="s">
        <v>161</v>
      </c>
      <c r="H21" s="3" t="s">
        <v>28</v>
      </c>
      <c r="I21" s="3" t="s">
        <v>33</v>
      </c>
      <c r="J21" s="49" t="s">
        <v>162</v>
      </c>
      <c r="K21" s="3"/>
      <c r="L21" s="12"/>
      <c r="M21" s="3"/>
      <c r="N21" s="11">
        <v>46052</v>
      </c>
      <c r="O21" s="3" t="s">
        <v>37</v>
      </c>
      <c r="P21" s="3"/>
      <c r="Q21" s="3"/>
      <c r="R21" s="3" t="s">
        <v>59</v>
      </c>
      <c r="S21" s="3" t="s">
        <v>106</v>
      </c>
      <c r="T21" s="3" t="s">
        <v>42</v>
      </c>
      <c r="U21" s="3" t="s">
        <v>60</v>
      </c>
      <c r="V21" s="3" t="s">
        <v>118</v>
      </c>
      <c r="W21" s="3"/>
      <c r="X21" s="3"/>
      <c r="Y21" s="3">
        <v>18</v>
      </c>
      <c r="Z21" s="3">
        <v>18</v>
      </c>
      <c r="AA21" s="9" t="s">
        <v>143</v>
      </c>
    </row>
    <row r="22" spans="1:27" ht="409.6">
      <c r="A22" s="3" t="s">
        <v>27</v>
      </c>
      <c r="B22" s="3" t="s">
        <v>28</v>
      </c>
      <c r="C22" s="3" t="s">
        <v>163</v>
      </c>
      <c r="D22" s="3" t="s">
        <v>46</v>
      </c>
      <c r="E22" s="4" t="s">
        <v>164</v>
      </c>
      <c r="F22" s="3">
        <f>F21+0.1</f>
        <v>9.2999999999999989</v>
      </c>
      <c r="G22" s="3" t="s">
        <v>165</v>
      </c>
      <c r="H22" s="3" t="s">
        <v>64</v>
      </c>
      <c r="I22" s="3" t="s">
        <v>49</v>
      </c>
      <c r="J22" s="49" t="s">
        <v>166</v>
      </c>
      <c r="K22" s="3"/>
      <c r="L22" s="6" t="s">
        <v>167</v>
      </c>
      <c r="M22" s="3"/>
      <c r="N22" s="11">
        <v>46068</v>
      </c>
      <c r="O22" s="3" t="s">
        <v>37</v>
      </c>
      <c r="P22" s="3"/>
      <c r="Q22" s="3"/>
      <c r="R22" s="3" t="s">
        <v>53</v>
      </c>
      <c r="S22" s="3" t="s">
        <v>106</v>
      </c>
      <c r="T22" s="3" t="s">
        <v>42</v>
      </c>
      <c r="U22" s="7"/>
      <c r="V22" s="3" t="s">
        <v>137</v>
      </c>
      <c r="W22" s="3"/>
      <c r="X22" s="15" t="s">
        <v>168</v>
      </c>
      <c r="Y22" s="3">
        <v>24</v>
      </c>
      <c r="Z22" s="3">
        <v>36</v>
      </c>
      <c r="AA22" s="9" t="s">
        <v>143</v>
      </c>
    </row>
    <row r="23" spans="1:27" ht="409.6">
      <c r="A23" s="3" t="s">
        <v>27</v>
      </c>
      <c r="B23" s="3" t="s">
        <v>28</v>
      </c>
      <c r="C23" s="3" t="s">
        <v>169</v>
      </c>
      <c r="D23" s="3" t="s">
        <v>46</v>
      </c>
      <c r="E23" s="3" t="s">
        <v>170</v>
      </c>
      <c r="F23" s="3">
        <v>11.1</v>
      </c>
      <c r="G23" s="3" t="s">
        <v>171</v>
      </c>
      <c r="H23" s="3" t="s">
        <v>28</v>
      </c>
      <c r="I23" s="3" t="s">
        <v>49</v>
      </c>
      <c r="J23" s="3" t="s">
        <v>123</v>
      </c>
      <c r="K23" s="3"/>
      <c r="L23" s="3" t="s">
        <v>172</v>
      </c>
      <c r="M23" s="3"/>
      <c r="N23" s="11">
        <v>46142</v>
      </c>
      <c r="O23" s="3" t="s">
        <v>173</v>
      </c>
      <c r="P23" s="3"/>
      <c r="Q23" s="3"/>
      <c r="R23" s="3" t="s">
        <v>53</v>
      </c>
      <c r="S23" s="3" t="s">
        <v>40</v>
      </c>
      <c r="T23" s="3" t="s">
        <v>42</v>
      </c>
      <c r="U23" s="3" t="s">
        <v>60</v>
      </c>
      <c r="V23" s="3"/>
      <c r="W23" s="3"/>
      <c r="X23" s="3"/>
      <c r="Y23" s="3">
        <v>8</v>
      </c>
      <c r="Z23" s="3">
        <v>8</v>
      </c>
      <c r="AA23" s="9" t="s">
        <v>143</v>
      </c>
    </row>
    <row r="24" spans="1:27" ht="409.6">
      <c r="A24" s="3" t="s">
        <v>27</v>
      </c>
      <c r="B24" s="3" t="s">
        <v>28</v>
      </c>
      <c r="C24" s="3" t="s">
        <v>174</v>
      </c>
      <c r="D24" s="3" t="s">
        <v>102</v>
      </c>
      <c r="E24" s="3" t="s">
        <v>175</v>
      </c>
      <c r="F24" s="3">
        <f>F23+0.1</f>
        <v>11.2</v>
      </c>
      <c r="G24" s="3" t="s">
        <v>176</v>
      </c>
      <c r="H24" s="3" t="s">
        <v>28</v>
      </c>
      <c r="I24" s="3" t="s">
        <v>49</v>
      </c>
      <c r="J24" s="3" t="s">
        <v>89</v>
      </c>
      <c r="K24" s="3"/>
      <c r="L24" s="3"/>
      <c r="M24" s="3"/>
      <c r="N24" s="11">
        <v>46111</v>
      </c>
      <c r="O24" s="3" t="s">
        <v>37</v>
      </c>
      <c r="P24" s="3"/>
      <c r="Q24" s="3"/>
      <c r="R24" s="3" t="s">
        <v>53</v>
      </c>
      <c r="S24" s="3" t="s">
        <v>40</v>
      </c>
      <c r="T24" s="3" t="s">
        <v>42</v>
      </c>
      <c r="U24" s="3" t="s">
        <v>60</v>
      </c>
      <c r="V24" s="3" t="s">
        <v>61</v>
      </c>
      <c r="W24" s="3"/>
      <c r="X24" s="3"/>
      <c r="Y24" s="3">
        <v>8</v>
      </c>
      <c r="Z24" s="3">
        <v>8</v>
      </c>
      <c r="AA24" s="9" t="s">
        <v>143</v>
      </c>
    </row>
    <row r="25" spans="1:27" ht="409.6">
      <c r="A25" s="3" t="s">
        <v>27</v>
      </c>
      <c r="B25" s="3" t="s">
        <v>28</v>
      </c>
      <c r="C25" s="3" t="s">
        <v>177</v>
      </c>
      <c r="D25" s="3"/>
      <c r="E25" s="4" t="s">
        <v>178</v>
      </c>
      <c r="F25" s="3">
        <f>F24+0.1</f>
        <v>11.299999999999999</v>
      </c>
      <c r="G25" s="3" t="s">
        <v>179</v>
      </c>
      <c r="H25" s="3" t="s">
        <v>28</v>
      </c>
      <c r="I25" s="3" t="s">
        <v>49</v>
      </c>
      <c r="J25" s="3" t="s">
        <v>89</v>
      </c>
      <c r="K25" s="3"/>
      <c r="L25" s="3" t="s">
        <v>180</v>
      </c>
      <c r="M25" s="3"/>
      <c r="N25" s="11">
        <v>46203</v>
      </c>
      <c r="O25" s="3" t="s">
        <v>37</v>
      </c>
      <c r="P25" s="3"/>
      <c r="Q25" s="3"/>
      <c r="R25" s="3" t="s">
        <v>53</v>
      </c>
      <c r="S25" s="3" t="s">
        <v>40</v>
      </c>
      <c r="T25" s="3" t="s">
        <v>41</v>
      </c>
      <c r="U25" s="3" t="s">
        <v>60</v>
      </c>
      <c r="V25" s="3" t="s">
        <v>112</v>
      </c>
      <c r="W25" s="3"/>
      <c r="X25" s="3"/>
      <c r="Y25" s="3">
        <v>8</v>
      </c>
      <c r="Z25" s="3">
        <v>24</v>
      </c>
      <c r="AA25" s="9" t="s">
        <v>143</v>
      </c>
    </row>
    <row r="26" spans="1:27" ht="409.6">
      <c r="A26" s="3" t="s">
        <v>27</v>
      </c>
      <c r="B26" s="3" t="s">
        <v>28</v>
      </c>
      <c r="C26" s="3" t="s">
        <v>79</v>
      </c>
      <c r="D26" s="3" t="s">
        <v>30</v>
      </c>
      <c r="E26" s="3" t="s">
        <v>181</v>
      </c>
      <c r="F26" s="3">
        <v>14.1</v>
      </c>
      <c r="G26" s="3" t="s">
        <v>182</v>
      </c>
      <c r="H26" s="3" t="s">
        <v>28</v>
      </c>
      <c r="I26" s="3" t="s">
        <v>33</v>
      </c>
      <c r="J26" s="3" t="s">
        <v>183</v>
      </c>
      <c r="K26" s="3"/>
      <c r="L26" s="6" t="s">
        <v>184</v>
      </c>
      <c r="M26" s="3"/>
      <c r="N26" s="3" t="s">
        <v>60</v>
      </c>
      <c r="O26" s="3" t="s">
        <v>52</v>
      </c>
      <c r="P26" s="3"/>
      <c r="Q26" s="3"/>
      <c r="R26" s="3" t="s">
        <v>59</v>
      </c>
      <c r="S26" s="3" t="s">
        <v>106</v>
      </c>
      <c r="T26" s="3" t="s">
        <v>41</v>
      </c>
      <c r="U26" s="3" t="s">
        <v>60</v>
      </c>
      <c r="V26" s="3" t="s">
        <v>185</v>
      </c>
      <c r="W26" s="3"/>
      <c r="X26" s="8" t="s">
        <v>131</v>
      </c>
      <c r="Y26" s="3">
        <v>6</v>
      </c>
      <c r="Z26" s="3">
        <v>6</v>
      </c>
      <c r="AA26" s="9" t="s">
        <v>143</v>
      </c>
    </row>
    <row r="27" spans="1:27" ht="269.25">
      <c r="A27" s="3" t="s">
        <v>27</v>
      </c>
      <c r="B27" s="3" t="s">
        <v>28</v>
      </c>
      <c r="C27" s="3" t="s">
        <v>79</v>
      </c>
      <c r="D27" s="3" t="s">
        <v>102</v>
      </c>
      <c r="E27" s="3" t="s">
        <v>186</v>
      </c>
      <c r="F27" s="3">
        <v>14.2</v>
      </c>
      <c r="G27" s="3" t="s">
        <v>187</v>
      </c>
      <c r="H27" s="3" t="s">
        <v>28</v>
      </c>
      <c r="I27" s="3" t="s">
        <v>49</v>
      </c>
      <c r="J27" s="3" t="s">
        <v>188</v>
      </c>
      <c r="K27" s="3"/>
      <c r="L27" t="s">
        <v>189</v>
      </c>
      <c r="M27" s="3"/>
      <c r="N27" s="11">
        <v>46052</v>
      </c>
      <c r="O27" s="3" t="s">
        <v>52</v>
      </c>
      <c r="P27" s="3"/>
      <c r="Q27" s="3"/>
      <c r="R27" s="3" t="s">
        <v>53</v>
      </c>
      <c r="S27" s="3" t="s">
        <v>106</v>
      </c>
      <c r="T27" s="3" t="s">
        <v>41</v>
      </c>
      <c r="U27" s="3" t="s">
        <v>60</v>
      </c>
      <c r="V27" s="3" t="s">
        <v>185</v>
      </c>
      <c r="W27" s="3"/>
      <c r="X27" s="3"/>
      <c r="Y27" s="3">
        <v>6</v>
      </c>
      <c r="Z27" s="3">
        <v>6</v>
      </c>
      <c r="AA27" s="9" t="s">
        <v>143</v>
      </c>
    </row>
    <row r="28" spans="1:27" ht="269.25">
      <c r="A28" s="16" t="s">
        <v>27</v>
      </c>
      <c r="B28" s="16" t="s">
        <v>28</v>
      </c>
      <c r="C28" s="16" t="s">
        <v>79</v>
      </c>
      <c r="D28" s="16"/>
      <c r="E28" s="40" t="s">
        <v>190</v>
      </c>
      <c r="F28" s="16">
        <v>14.3</v>
      </c>
      <c r="G28" s="16" t="s">
        <v>191</v>
      </c>
      <c r="H28" s="16" t="s">
        <v>28</v>
      </c>
      <c r="I28" s="16" t="s">
        <v>49</v>
      </c>
      <c r="J28" s="16"/>
      <c r="K28" s="16"/>
      <c r="L28" s="16" t="s">
        <v>192</v>
      </c>
      <c r="M28" s="16"/>
      <c r="N28" s="41">
        <v>46203</v>
      </c>
      <c r="O28" s="16" t="s">
        <v>37</v>
      </c>
      <c r="P28" s="16"/>
      <c r="Q28" s="16"/>
      <c r="R28" s="16" t="s">
        <v>53</v>
      </c>
      <c r="S28" s="16" t="s">
        <v>106</v>
      </c>
      <c r="T28" s="16" t="s">
        <v>41</v>
      </c>
      <c r="U28" s="3" t="s">
        <v>60</v>
      </c>
      <c r="V28" s="16" t="s">
        <v>112</v>
      </c>
      <c r="W28" s="16"/>
      <c r="X28" s="16"/>
      <c r="Y28" s="16">
        <v>16</v>
      </c>
      <c r="Z28" s="16">
        <v>16</v>
      </c>
      <c r="AA28" s="17" t="s">
        <v>143</v>
      </c>
    </row>
    <row r="29" spans="1:27" ht="409.6">
      <c r="A29" s="50" t="s">
        <v>27</v>
      </c>
      <c r="B29" s="50" t="s">
        <v>28</v>
      </c>
      <c r="C29" s="50" t="s">
        <v>29</v>
      </c>
      <c r="D29" s="3" t="s">
        <v>30</v>
      </c>
      <c r="E29" s="45" t="s">
        <v>193</v>
      </c>
      <c r="F29" s="51">
        <v>15.2</v>
      </c>
      <c r="G29" s="45" t="s">
        <v>194</v>
      </c>
      <c r="H29" s="51" t="s">
        <v>28</v>
      </c>
      <c r="I29" s="50" t="s">
        <v>33</v>
      </c>
      <c r="J29" s="3" t="s">
        <v>195</v>
      </c>
      <c r="K29" s="51"/>
      <c r="L29" s="51"/>
      <c r="M29" s="51"/>
      <c r="N29" s="51" t="s">
        <v>60</v>
      </c>
      <c r="O29" s="51" t="s">
        <v>196</v>
      </c>
      <c r="P29" s="51"/>
      <c r="Q29" s="51"/>
      <c r="R29" s="50" t="s">
        <v>197</v>
      </c>
      <c r="S29" s="51" t="s">
        <v>60</v>
      </c>
      <c r="T29" s="50" t="s">
        <v>41</v>
      </c>
      <c r="U29" s="3" t="s">
        <v>60</v>
      </c>
      <c r="V29" s="52" t="s">
        <v>198</v>
      </c>
      <c r="W29" s="51"/>
      <c r="X29" s="51"/>
      <c r="Y29" s="51">
        <v>40</v>
      </c>
      <c r="Z29" s="51">
        <v>106</v>
      </c>
      <c r="AA29" s="45" t="s">
        <v>199</v>
      </c>
    </row>
    <row r="30" spans="1:27" ht="409.6">
      <c r="A30" s="50" t="s">
        <v>27</v>
      </c>
      <c r="B30" s="50" t="s">
        <v>200</v>
      </c>
      <c r="C30" s="50" t="s">
        <v>201</v>
      </c>
      <c r="D30" s="3" t="s">
        <v>102</v>
      </c>
      <c r="E30" s="53" t="s">
        <v>202</v>
      </c>
      <c r="F30" s="51">
        <v>25</v>
      </c>
      <c r="G30" s="53" t="s">
        <v>203</v>
      </c>
      <c r="H30" s="51" t="s">
        <v>64</v>
      </c>
      <c r="I30" s="50" t="s">
        <v>33</v>
      </c>
      <c r="J30" s="3"/>
      <c r="K30" s="51"/>
      <c r="L30" s="51"/>
      <c r="M30" s="51"/>
      <c r="N30" s="51"/>
      <c r="O30" s="51"/>
      <c r="P30" s="51"/>
      <c r="Q30" s="51"/>
      <c r="R30" s="50"/>
      <c r="S30" s="51"/>
      <c r="T30" s="50"/>
      <c r="U30" s="54"/>
      <c r="V30" s="52"/>
      <c r="W30" s="51"/>
      <c r="X30" s="51"/>
      <c r="Y30" s="55"/>
      <c r="Z30" s="51"/>
      <c r="AA30" s="56"/>
    </row>
    <row r="31" spans="1:27" ht="269.25">
      <c r="A31" s="50" t="s">
        <v>27</v>
      </c>
      <c r="B31" s="51" t="s">
        <v>28</v>
      </c>
      <c r="C31" s="45" t="s">
        <v>204</v>
      </c>
      <c r="D31" s="3" t="s">
        <v>30</v>
      </c>
      <c r="E31" s="45" t="s">
        <v>205</v>
      </c>
      <c r="F31" s="51">
        <v>3.7</v>
      </c>
      <c r="G31" s="45" t="s">
        <v>206</v>
      </c>
      <c r="H31" s="51" t="s">
        <v>28</v>
      </c>
      <c r="I31" s="50" t="s">
        <v>33</v>
      </c>
      <c r="J31" s="46" t="s">
        <v>207</v>
      </c>
      <c r="K31" s="51"/>
      <c r="L31" s="51" t="s">
        <v>208</v>
      </c>
      <c r="M31" s="51"/>
      <c r="N31" s="57" t="s">
        <v>209</v>
      </c>
      <c r="O31" s="51" t="s">
        <v>37</v>
      </c>
      <c r="P31" s="51"/>
      <c r="Q31" s="51"/>
      <c r="R31" s="50" t="s">
        <v>39</v>
      </c>
      <c r="S31" s="51" t="s">
        <v>210</v>
      </c>
      <c r="T31" s="51" t="s">
        <v>41</v>
      </c>
      <c r="U31" s="24" t="s">
        <v>60</v>
      </c>
      <c r="V31" s="52" t="s">
        <v>211</v>
      </c>
      <c r="W31" s="51"/>
      <c r="X31" s="51"/>
      <c r="Y31" s="55">
        <v>180</v>
      </c>
      <c r="Z31" s="24">
        <v>180</v>
      </c>
      <c r="AA31" s="56" t="s">
        <v>212</v>
      </c>
    </row>
    <row r="32" spans="1:27" ht="409.6">
      <c r="A32" s="21" t="s">
        <v>27</v>
      </c>
      <c r="B32" s="24" t="s">
        <v>64</v>
      </c>
      <c r="C32" s="24" t="s">
        <v>79</v>
      </c>
      <c r="D32" s="3" t="s">
        <v>30</v>
      </c>
      <c r="E32" s="58" t="s">
        <v>213</v>
      </c>
      <c r="F32" s="24" t="s">
        <v>214</v>
      </c>
      <c r="G32" s="58" t="s">
        <v>213</v>
      </c>
      <c r="H32" s="24" t="s">
        <v>28</v>
      </c>
      <c r="I32" s="21" t="s">
        <v>33</v>
      </c>
      <c r="J32" s="46" t="s">
        <v>215</v>
      </c>
      <c r="K32" s="24"/>
      <c r="L32" s="51" t="s">
        <v>208</v>
      </c>
      <c r="M32" s="24"/>
      <c r="N32" s="25" t="s">
        <v>60</v>
      </c>
      <c r="O32" s="24" t="s">
        <v>216</v>
      </c>
      <c r="P32" s="24"/>
      <c r="Q32" s="24"/>
      <c r="R32" s="50" t="s">
        <v>59</v>
      </c>
      <c r="S32" s="24" t="s">
        <v>217</v>
      </c>
      <c r="T32" s="24" t="s">
        <v>41</v>
      </c>
      <c r="U32" s="24" t="s">
        <v>60</v>
      </c>
      <c r="V32" s="59" t="s">
        <v>211</v>
      </c>
      <c r="W32" s="24"/>
      <c r="X32" s="24"/>
      <c r="Y32" s="60">
        <v>14</v>
      </c>
      <c r="Z32" s="24">
        <v>14</v>
      </c>
      <c r="AA32" s="61" t="s">
        <v>218</v>
      </c>
    </row>
    <row r="33" spans="1:28" ht="409.6">
      <c r="A33" s="50" t="s">
        <v>27</v>
      </c>
      <c r="B33" s="62" t="s">
        <v>64</v>
      </c>
      <c r="C33" s="45" t="s">
        <v>219</v>
      </c>
      <c r="D33" s="62"/>
      <c r="E33" s="63" t="s">
        <v>220</v>
      </c>
      <c r="F33" s="51" t="s">
        <v>214</v>
      </c>
      <c r="G33" s="45" t="s">
        <v>221</v>
      </c>
      <c r="H33" s="62" t="s">
        <v>28</v>
      </c>
      <c r="I33" s="50" t="s">
        <v>49</v>
      </c>
      <c r="J33" s="3" t="s">
        <v>222</v>
      </c>
      <c r="K33" s="62"/>
      <c r="L33" s="62"/>
      <c r="M33" s="62"/>
      <c r="N33" s="64">
        <v>46037</v>
      </c>
      <c r="O33" s="45" t="s">
        <v>223</v>
      </c>
      <c r="P33" s="62"/>
      <c r="Q33" s="65"/>
      <c r="R33" s="50" t="s">
        <v>197</v>
      </c>
      <c r="S33" s="66" t="s">
        <v>224</v>
      </c>
      <c r="T33" s="51" t="s">
        <v>41</v>
      </c>
      <c r="U33" s="62" t="s">
        <v>225</v>
      </c>
      <c r="V33" s="62" t="s">
        <v>85</v>
      </c>
      <c r="W33" s="62"/>
      <c r="X33" s="62"/>
      <c r="Y33" s="65">
        <v>64</v>
      </c>
      <c r="Z33" s="62">
        <v>64</v>
      </c>
      <c r="AA33" s="67" t="s">
        <v>218</v>
      </c>
    </row>
    <row r="34" spans="1:28" ht="229.5">
      <c r="A34" s="21" t="s">
        <v>27</v>
      </c>
      <c r="B34" s="25" t="s">
        <v>28</v>
      </c>
      <c r="C34" s="25" t="s">
        <v>79</v>
      </c>
      <c r="D34" s="3" t="s">
        <v>30</v>
      </c>
      <c r="E34" s="25" t="s">
        <v>226</v>
      </c>
      <c r="F34" s="24"/>
      <c r="G34" s="25" t="s">
        <v>227</v>
      </c>
      <c r="H34" s="25" t="s">
        <v>28</v>
      </c>
      <c r="I34" s="21" t="s">
        <v>33</v>
      </c>
      <c r="J34" s="3" t="s">
        <v>228</v>
      </c>
      <c r="K34" s="25"/>
      <c r="L34" s="25"/>
      <c r="M34" s="25"/>
      <c r="N34" s="68"/>
      <c r="O34" s="25" t="s">
        <v>229</v>
      </c>
      <c r="P34" s="25"/>
      <c r="Q34" s="28"/>
      <c r="R34" s="21" t="s">
        <v>59</v>
      </c>
      <c r="S34" s="69" t="s">
        <v>230</v>
      </c>
      <c r="T34" s="25" t="s">
        <v>41</v>
      </c>
      <c r="U34" s="25" t="s">
        <v>60</v>
      </c>
      <c r="V34" s="25" t="s">
        <v>185</v>
      </c>
      <c r="W34" s="70"/>
      <c r="X34" s="70" t="s">
        <v>131</v>
      </c>
      <c r="Y34" s="25">
        <v>14</v>
      </c>
      <c r="Z34" s="25">
        <v>14</v>
      </c>
      <c r="AA34" s="25"/>
    </row>
    <row r="35" spans="1:28" ht="269.25">
      <c r="A35" s="21" t="s">
        <v>27</v>
      </c>
      <c r="B35" s="25" t="s">
        <v>28</v>
      </c>
      <c r="C35" s="25" t="s">
        <v>79</v>
      </c>
      <c r="D35" s="16" t="s">
        <v>30</v>
      </c>
      <c r="E35" s="25" t="s">
        <v>226</v>
      </c>
      <c r="F35" s="24"/>
      <c r="G35" s="25" t="s">
        <v>231</v>
      </c>
      <c r="H35" s="25" t="s">
        <v>28</v>
      </c>
      <c r="I35" s="21" t="s">
        <v>33</v>
      </c>
      <c r="J35" s="3" t="s">
        <v>232</v>
      </c>
      <c r="K35" s="25"/>
      <c r="L35" s="25"/>
      <c r="M35" s="25"/>
      <c r="N35" s="68"/>
      <c r="O35" s="25" t="s">
        <v>229</v>
      </c>
      <c r="P35" s="25"/>
      <c r="Q35" s="28"/>
      <c r="R35" s="21" t="s">
        <v>39</v>
      </c>
      <c r="S35" s="69" t="s">
        <v>230</v>
      </c>
      <c r="T35" s="25" t="s">
        <v>42</v>
      </c>
      <c r="U35" s="25" t="s">
        <v>60</v>
      </c>
      <c r="V35" s="25" t="s">
        <v>100</v>
      </c>
      <c r="W35" s="25"/>
      <c r="X35" s="70" t="s">
        <v>131</v>
      </c>
      <c r="Y35" s="25">
        <v>10</v>
      </c>
      <c r="Z35" s="25">
        <v>10</v>
      </c>
      <c r="AA35" s="25"/>
    </row>
    <row r="36" spans="1:28" ht="27">
      <c r="A36" s="21" t="s">
        <v>27</v>
      </c>
      <c r="B36" s="25" t="s">
        <v>28</v>
      </c>
      <c r="C36" s="28" t="s">
        <v>79</v>
      </c>
      <c r="D36" s="54" t="s">
        <v>102</v>
      </c>
      <c r="E36" s="69" t="s">
        <v>226</v>
      </c>
      <c r="F36" s="24"/>
      <c r="G36" t="s">
        <v>233</v>
      </c>
      <c r="H36" s="25" t="s">
        <v>28</v>
      </c>
      <c r="I36" s="21" t="s">
        <v>33</v>
      </c>
      <c r="J36" s="3"/>
      <c r="K36" s="25"/>
      <c r="L36" s="25"/>
      <c r="M36" s="25"/>
      <c r="N36" s="68"/>
      <c r="O36" s="25" t="s">
        <v>95</v>
      </c>
      <c r="P36" s="25"/>
      <c r="Q36" s="28"/>
      <c r="R36" s="21" t="s">
        <v>77</v>
      </c>
      <c r="S36" s="69" t="s">
        <v>230</v>
      </c>
      <c r="T36" s="25" t="s">
        <v>42</v>
      </c>
      <c r="U36" s="25" t="s">
        <v>60</v>
      </c>
      <c r="V36" s="25" t="s">
        <v>234</v>
      </c>
      <c r="W36" s="25"/>
      <c r="X36" s="70"/>
      <c r="Y36" s="25">
        <v>5</v>
      </c>
      <c r="Z36" s="25">
        <v>5</v>
      </c>
      <c r="AA36" s="25"/>
    </row>
    <row r="37" spans="1:28" ht="27">
      <c r="A37" s="21" t="s">
        <v>27</v>
      </c>
      <c r="B37" s="25" t="s">
        <v>28</v>
      </c>
      <c r="C37" s="28" t="s">
        <v>79</v>
      </c>
      <c r="D37" s="54" t="s">
        <v>102</v>
      </c>
      <c r="E37" s="69" t="s">
        <v>226</v>
      </c>
      <c r="F37" s="24"/>
      <c r="G37" s="25" t="s">
        <v>235</v>
      </c>
      <c r="H37" s="25" t="s">
        <v>28</v>
      </c>
      <c r="I37" s="21" t="s">
        <v>33</v>
      </c>
      <c r="J37" s="3"/>
      <c r="K37" s="25"/>
      <c r="L37" s="25"/>
      <c r="M37" s="25"/>
      <c r="N37" s="68"/>
      <c r="O37" s="25" t="s">
        <v>95</v>
      </c>
      <c r="P37" s="25"/>
      <c r="Q37" s="28"/>
      <c r="R37" s="21" t="s">
        <v>77</v>
      </c>
      <c r="S37" s="69" t="s">
        <v>230</v>
      </c>
      <c r="T37" s="25" t="s">
        <v>42</v>
      </c>
      <c r="U37" s="25" t="s">
        <v>60</v>
      </c>
      <c r="V37" s="25" t="s">
        <v>130</v>
      </c>
      <c r="W37" s="25"/>
      <c r="X37" s="70"/>
      <c r="Y37" s="25">
        <v>9</v>
      </c>
      <c r="Z37" s="25">
        <v>9</v>
      </c>
      <c r="AA37" s="25"/>
    </row>
    <row r="38" spans="1:28" ht="174.75">
      <c r="A38" s="21" t="s">
        <v>27</v>
      </c>
      <c r="B38" s="25" t="s">
        <v>28</v>
      </c>
      <c r="C38" s="28" t="s">
        <v>79</v>
      </c>
      <c r="D38" s="25"/>
      <c r="E38" s="69" t="s">
        <v>226</v>
      </c>
      <c r="F38" s="24"/>
      <c r="G38" s="25" t="s">
        <v>112</v>
      </c>
      <c r="H38" s="25" t="s">
        <v>28</v>
      </c>
      <c r="I38" s="21" t="s">
        <v>33</v>
      </c>
      <c r="J38" s="3" t="s">
        <v>236</v>
      </c>
      <c r="K38" s="25"/>
      <c r="L38" s="25"/>
      <c r="M38" s="25"/>
      <c r="N38" s="68"/>
      <c r="O38" s="25" t="s">
        <v>229</v>
      </c>
      <c r="P38" s="25"/>
      <c r="Q38" s="28"/>
      <c r="R38" s="21" t="s">
        <v>53</v>
      </c>
      <c r="S38" s="69" t="s">
        <v>230</v>
      </c>
      <c r="T38" s="25" t="s">
        <v>41</v>
      </c>
      <c r="U38" s="25" t="s">
        <v>60</v>
      </c>
      <c r="V38" s="25"/>
      <c r="W38" s="25"/>
      <c r="X38" s="25"/>
      <c r="Y38" s="25">
        <v>42</v>
      </c>
      <c r="Z38" s="25">
        <v>42</v>
      </c>
      <c r="AA38" s="25"/>
    </row>
    <row r="39" spans="1:28">
      <c r="A39" s="71"/>
      <c r="B39" s="71"/>
      <c r="C39" s="71"/>
      <c r="D39" s="71"/>
      <c r="E39" s="71"/>
      <c r="F39" s="71"/>
      <c r="G39" s="71"/>
      <c r="H39" s="71"/>
      <c r="I39" s="72"/>
      <c r="J39" s="72"/>
      <c r="K39" s="72"/>
      <c r="L39" s="72"/>
      <c r="M39" s="72"/>
      <c r="N39" s="72"/>
      <c r="O39" s="72"/>
      <c r="P39" s="72"/>
      <c r="Q39" s="72"/>
      <c r="R39" s="72"/>
      <c r="S39" s="72"/>
      <c r="T39" s="72"/>
      <c r="U39" s="72"/>
      <c r="V39" s="72"/>
      <c r="W39" s="72"/>
      <c r="X39" s="73" t="s">
        <v>237</v>
      </c>
      <c r="Y39" s="72">
        <f>SUM(Y2:Y38)</f>
        <v>781</v>
      </c>
      <c r="Z39" s="72">
        <f>SUM(Z2:Z38)</f>
        <v>948</v>
      </c>
      <c r="AA39" s="72"/>
      <c r="AB39" s="71"/>
    </row>
    <row r="40" spans="1:28" ht="108">
      <c r="A40" s="58" t="s">
        <v>27</v>
      </c>
      <c r="B40" s="58" t="s">
        <v>238</v>
      </c>
      <c r="C40" s="58" t="s">
        <v>29</v>
      </c>
      <c r="D40" s="21"/>
      <c r="E40" s="58" t="s">
        <v>239</v>
      </c>
      <c r="F40" s="21"/>
      <c r="G40" s="58" t="s">
        <v>240</v>
      </c>
      <c r="H40" s="72" t="s">
        <v>28</v>
      </c>
      <c r="I40" s="72"/>
      <c r="J40" s="72"/>
      <c r="K40" s="72"/>
      <c r="L40" s="72"/>
      <c r="M40" s="72"/>
      <c r="N40" s="72"/>
      <c r="O40" s="72"/>
      <c r="P40" s="72"/>
      <c r="Q40" s="72"/>
      <c r="R40" s="72"/>
      <c r="S40" s="72"/>
      <c r="T40" s="72"/>
      <c r="U40" s="72"/>
      <c r="V40" s="72"/>
      <c r="W40" s="72"/>
      <c r="X40" s="73"/>
      <c r="Y40" s="72"/>
      <c r="Z40" s="72"/>
      <c r="AA40" s="72"/>
      <c r="AB40" s="71"/>
    </row>
    <row r="41" spans="1:28" ht="108">
      <c r="A41" s="74" t="s">
        <v>27</v>
      </c>
      <c r="B41" s="74" t="s">
        <v>241</v>
      </c>
      <c r="C41" s="74" t="s">
        <v>29</v>
      </c>
      <c r="D41" s="75" t="s">
        <v>102</v>
      </c>
      <c r="E41" s="74" t="s">
        <v>242</v>
      </c>
      <c r="F41" s="74" t="s">
        <v>241</v>
      </c>
      <c r="G41" s="74" t="s">
        <v>242</v>
      </c>
      <c r="H41" s="58" t="s">
        <v>28</v>
      </c>
      <c r="I41" s="21" t="s">
        <v>49</v>
      </c>
      <c r="J41" s="3" t="s">
        <v>146</v>
      </c>
      <c r="K41" s="21"/>
      <c r="L41" s="76"/>
      <c r="M41" s="21"/>
      <c r="N41" s="77"/>
      <c r="O41" s="21"/>
      <c r="P41" s="21"/>
      <c r="Q41" s="21"/>
      <c r="R41" s="21" t="s">
        <v>53</v>
      </c>
      <c r="S41" s="21" t="s">
        <v>106</v>
      </c>
      <c r="T41" s="21" t="s">
        <v>41</v>
      </c>
      <c r="U41" s="21" t="s">
        <v>60</v>
      </c>
      <c r="V41" s="21" t="s">
        <v>61</v>
      </c>
      <c r="W41" s="78"/>
      <c r="X41" s="78"/>
      <c r="Y41" s="78"/>
      <c r="Z41" s="78"/>
      <c r="AA41" s="78"/>
    </row>
  </sheetData>
  <conditionalFormatting sqref="D2">
    <cfRule type="containsText" dxfId="8" priority="2" operator="containsText" text="Q4">
      <formula>NOT(ISERROR(SEARCH("Q4",D2)))</formula>
    </cfRule>
  </conditionalFormatting>
  <conditionalFormatting sqref="D2:D38 D40:D41">
    <cfRule type="containsText" dxfId="7" priority="1" operator="containsText" text="Q4">
      <formula>NOT(ISERROR(SEARCH("Q4",D2)))</formula>
    </cfRule>
    <cfRule type="containsText" dxfId="6" priority="3" operator="containsText" text="Q3">
      <formula>NOT(ISERROR(SEARCH("Q3",D2)))</formula>
    </cfRule>
    <cfRule type="containsText" dxfId="5" priority="4" operator="containsText" text="Q2">
      <formula>NOT(ISERROR(SEARCH("Q2",D2)))</formula>
    </cfRule>
    <cfRule type="containsText" dxfId="4" priority="5" operator="containsText" text="Q1">
      <formula>NOT(ISERROR(SEARCH("Q1",D2)))</formula>
    </cfRule>
  </conditionalFormatting>
  <conditionalFormatting sqref="I41 I2:I9 I11:I38">
    <cfRule type="containsText" dxfId="3" priority="6" operator="containsText" text="NOT STARTED">
      <formula>NOT(ISERROR(SEARCH("NOT STARTED",I2)))</formula>
    </cfRule>
    <cfRule type="containsText" dxfId="2" priority="7" operator="containsText" text="GREEN">
      <formula>NOT(ISERROR(SEARCH("GREEN",I2)))</formula>
    </cfRule>
    <cfRule type="containsText" dxfId="1" priority="8" operator="containsText" text="YELLOW">
      <formula>NOT(ISERROR(SEARCH("YELLOW",I2)))</formula>
    </cfRule>
    <cfRule type="containsText" dxfId="0" priority="9" operator="containsText" text="RED">
      <formula>NOT(ISERROR(SEARCH("RED",I2)))</formula>
    </cfRule>
  </conditionalFormatting>
  <dataValidations count="3">
    <dataValidation type="list" allowBlank="1" showInputMessage="1" showErrorMessage="1" sqref="D40:D41 D2:D38" xr:uid="{77AC511F-671F-42FD-96CF-BF34392964AF}">
      <formula1>"Q1, Q2, Q3, Q4"</formula1>
    </dataValidation>
    <dataValidation type="list" allowBlank="1" showInputMessage="1" showErrorMessage="1" sqref="R41 R1:R38 I10" xr:uid="{E85E1570-5383-4043-88D4-1316E1CD1BCD}">
      <formula1>"Not Started, Scoping/Intake, Design, Development, QA, Tech Complete, UAT, Dialup/Pilot, Launch, Launch Announced, Depriortised"</formula1>
    </dataValidation>
    <dataValidation type="list" allowBlank="1" showInputMessage="1" showErrorMessage="1" sqref="I41 I1:I9 I11:I38" xr:uid="{C0A37EE0-958C-489F-BA1B-E1E82CCC302D}">
      <formula1>"RED, GREEN, YELLOW, NOT STARTED"</formula1>
    </dataValidation>
  </dataValidations>
  <hyperlinks>
    <hyperlink ref="X2" r:id="rId1" xr:uid="{C488BAC5-0352-4C76-B426-F28E42379647}"/>
    <hyperlink ref="X4" r:id="rId2" xr:uid="{81A70B61-1163-462A-A9D4-B58508E35F0D}"/>
    <hyperlink ref="X5" r:id="rId3" xr:uid="{16097AF1-4D0B-4862-8B79-9FBC973FC806}"/>
    <hyperlink ref="X9" r:id="rId4" xr:uid="{071CB572-B172-4976-9194-CEC456D58FD5}"/>
    <hyperlink ref="X13" r:id="rId5" xr:uid="{60B2BE76-CC1F-421A-9C0F-FB8B2683215E}"/>
    <hyperlink ref="X34" r:id="rId6" xr:uid="{CA3A12DB-5079-4EC3-B27D-0B28F4FE966C}"/>
    <hyperlink ref="X35" r:id="rId7" xr:uid="{A3ADAA0B-57CF-4D03-AE52-2E636500C088}"/>
    <hyperlink ref="X26" r:id="rId8" xr:uid="{E1B5D229-538D-4BB4-87AD-1133470589B9}"/>
    <hyperlink ref="X16" r:id="rId9" xr:uid="{D0E84092-25B6-41F4-ACF4-588562881DFD}"/>
    <hyperlink ref="X7" r:id="rId10" xr:uid="{E1EC129B-CFBD-4137-88F1-966E18D9755A}"/>
    <hyperlink ref="X22" r:id="rId11" xr:uid="{B2BF72E1-A191-415E-B57C-C68B045B21D9}"/>
    <hyperlink ref="X15" r:id="rId12" xr:uid="{E237D462-572C-455F-9F81-17B7E92299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2026-04-15T05:43:10Z</dcterms:created>
  <dcterms:modified xsi:type="dcterms:W3CDTF">2026-04-15T05:49:34Z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2026-04-15T05:43:15Z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978941dd-5e51-4ec9-bbd7-345da3c59e7b</vt:lpwstr>
  </property>
  <property fmtid="{D5CDD505-2E9C-101B-9397-08002B2CF9AE}" pid="8" name="MSIP_Label_19e68092-05df-4271-8e3e-b2a4c82ba797_ContentBits">
    <vt:lpwstr>0</vt:lpwstr>
  </property>
  <property fmtid="{D5CDD505-2E9C-101B-9397-08002B2CF9AE}" pid="9" name="MSIP_Label_19e68092-05df-4271-8e3e-b2a4c82ba797_Tag">
    <vt:lpwstr>10, 3, 0, 2</vt:lpwstr>
  </property>
</Properties>
</file>